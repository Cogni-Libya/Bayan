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819" firstSheet="0" activeTab="0" autoFilterDateGrouping="1"/>
  </bookViews>
  <sheets>
    <sheet xmlns:r="http://schemas.openxmlformats.org/officeDocument/2006/relationships" name="Cover Page" sheetId="1" state="visible" r:id="rId1"/>
    <sheet xmlns:r="http://schemas.openxmlformats.org/officeDocument/2006/relationships" name="WB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&quot;/&quot;d;@"/>
    <numFmt numFmtId="165" formatCode="0.0"/>
    <numFmt numFmtId="166" formatCode="d mmm"/>
  </numFmts>
  <fonts count="14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Samsung Sharp Sans"/>
      <color theme="1"/>
      <sz val="14"/>
      <u val="single"/>
    </font>
    <font>
      <name val="SamsungOne 400"/>
      <family val="2"/>
      <b val="1"/>
      <color theme="0"/>
      <sz val="11"/>
    </font>
    <font>
      <name val="SamsungOne 400"/>
      <family val="2"/>
      <b val="1"/>
      <sz val="10"/>
    </font>
    <font>
      <name val="SamsungOne 400"/>
      <family val="2"/>
      <color theme="1"/>
      <sz val="11"/>
    </font>
    <font>
      <name val="SamsungOne 400"/>
      <family val="2"/>
      <b val="1"/>
      <sz val="11"/>
    </font>
    <font>
      <name val="SamsungOne 400"/>
      <family val="2"/>
      <sz val="11"/>
    </font>
    <font>
      <name val="SamsungOne 700"/>
      <family val="2"/>
      <color rgb="FF000000"/>
      <sz val="12"/>
    </font>
    <font>
      <name val="Samsung Sharp Sans"/>
      <color rgb="FF193DB0"/>
      <sz val="36"/>
    </font>
    <font>
      <name val="Calibri"/>
      <charset val="129"/>
      <family val="3"/>
      <color theme="1"/>
      <sz val="7"/>
      <scheme val="minor"/>
    </font>
    <font>
      <name val="SamsungOne 400"/>
      <family val="2"/>
      <color theme="1"/>
      <sz val="7"/>
    </font>
    <font>
      <name val="Samsung Sharp Sans"/>
      <color theme="1"/>
      <sz val="12"/>
    </font>
    <font>
      <name val="SamsungOne 400"/>
      <family val="2"/>
      <b val="1"/>
      <color theme="1"/>
      <sz val="11"/>
    </font>
  </fonts>
  <fills count="12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DCE5FA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7999816888943144"/>
        <bgColor indexed="64"/>
      </patternFill>
    </fill>
  </fills>
  <borders count="33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hair">
        <color auto="1"/>
      </right>
      <top style="medium">
        <color auto="1"/>
      </top>
      <bottom/>
      <diagonal/>
    </border>
    <border>
      <left/>
      <right style="hair">
        <color auto="1"/>
      </right>
      <top/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hair">
        <color auto="1"/>
      </left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</borders>
  <cellStyleXfs count="1">
    <xf numFmtId="0" fontId="0" fillId="0" borderId="0" applyAlignment="1">
      <alignment vertical="center"/>
    </xf>
  </cellStyleXfs>
  <cellXfs count="74">
    <xf numFmtId="0" fontId="0" fillId="0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4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4" fillId="5" borderId="5" applyAlignment="1" pivotButton="0" quotePrefix="0" xfId="0">
      <alignment horizontal="center" vertical="center" wrapText="1" readingOrder="1"/>
    </xf>
    <xf numFmtId="0" fontId="4" fillId="5" borderId="1" applyAlignment="1" pivotButton="0" quotePrefix="0" xfId="0">
      <alignment horizontal="center" vertical="center" wrapText="1" readingOrder="1"/>
    </xf>
    <xf numFmtId="0" fontId="4" fillId="5" borderId="6" applyAlignment="1" pivotButton="0" quotePrefix="0" xfId="0">
      <alignment horizontal="center" vertical="center" wrapText="1" readingOrder="1"/>
    </xf>
    <xf numFmtId="0" fontId="5" fillId="0" borderId="5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 indent="1"/>
    </xf>
    <xf numFmtId="14" fontId="5" fillId="0" borderId="1" applyAlignment="1" pivotButton="0" quotePrefix="0" xfId="0">
      <alignment horizontal="center" vertical="center"/>
    </xf>
    <xf numFmtId="0" fontId="5" fillId="0" borderId="14" applyAlignment="1" pivotButton="0" quotePrefix="0" xfId="0">
      <alignment horizontal="center" vertical="center"/>
    </xf>
    <xf numFmtId="0" fontId="5" fillId="9" borderId="5" applyAlignment="1" pivotButton="0" quotePrefix="0" xfId="0">
      <alignment vertical="center"/>
    </xf>
    <xf numFmtId="0" fontId="5" fillId="9" borderId="1" applyAlignment="1" pivotButton="0" quotePrefix="0" xfId="0">
      <alignment vertical="center"/>
    </xf>
    <xf numFmtId="0" fontId="5" fillId="0" borderId="6" applyAlignment="1" pivotButton="0" quotePrefix="0" xfId="0">
      <alignment vertical="center"/>
    </xf>
    <xf numFmtId="0" fontId="5" fillId="6" borderId="5" applyAlignment="1" pivotButton="0" quotePrefix="0" xfId="0">
      <alignment vertical="center"/>
    </xf>
    <xf numFmtId="0" fontId="5" fillId="6" borderId="1" applyAlignment="1" pivotButton="0" quotePrefix="0" xfId="0">
      <alignment vertical="center"/>
    </xf>
    <xf numFmtId="0" fontId="5" fillId="7" borderId="5" applyAlignment="1" pivotButton="0" quotePrefix="0" xfId="0">
      <alignment vertical="center"/>
    </xf>
    <xf numFmtId="0" fontId="5" fillId="7" borderId="1" applyAlignment="1" pivotButton="0" quotePrefix="0" xfId="0">
      <alignment vertical="center"/>
    </xf>
    <xf numFmtId="0" fontId="5" fillId="8" borderId="5" applyAlignment="1" pivotButton="0" quotePrefix="0" xfId="0">
      <alignment vertical="center"/>
    </xf>
    <xf numFmtId="0" fontId="5" fillId="8" borderId="1" applyAlignment="1" pivotButton="0" quotePrefix="0" xfId="0">
      <alignment vertical="center"/>
    </xf>
    <xf numFmtId="0" fontId="5" fillId="0" borderId="1" applyAlignment="1" pivotButton="0" quotePrefix="0" xfId="0">
      <alignment horizontal="center" vertical="center"/>
    </xf>
    <xf numFmtId="0" fontId="5" fillId="0" borderId="7" applyAlignment="1" pivotButton="0" quotePrefix="0" xfId="0">
      <alignment vertical="center"/>
    </xf>
    <xf numFmtId="0" fontId="5" fillId="0" borderId="8" applyAlignment="1" pivotButton="0" quotePrefix="0" xfId="0">
      <alignment vertical="center"/>
    </xf>
    <xf numFmtId="0" fontId="5" fillId="0" borderId="8" applyAlignment="1" pivotButton="0" quotePrefix="0" xfId="0">
      <alignment horizontal="left" vertical="center" indent="1"/>
    </xf>
    <xf numFmtId="0" fontId="5" fillId="0" borderId="8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9" applyAlignment="1" pivotButton="0" quotePrefix="0" xfId="0">
      <alignment vertical="center"/>
    </xf>
    <xf numFmtId="0" fontId="2" fillId="2" borderId="17" applyAlignment="1" pivotButton="0" quotePrefix="0" xfId="0">
      <alignment vertical="center"/>
    </xf>
    <xf numFmtId="0" fontId="0" fillId="2" borderId="18" applyAlignment="1" pivotButton="0" quotePrefix="0" xfId="0">
      <alignment vertical="center"/>
    </xf>
    <xf numFmtId="0" fontId="0" fillId="2" borderId="19" applyAlignment="1" pivotButton="0" quotePrefix="0" xfId="0">
      <alignment vertical="center"/>
    </xf>
    <xf numFmtId="0" fontId="3" fillId="10" borderId="17" applyAlignment="1" pivotButton="0" quotePrefix="0" xfId="0">
      <alignment vertical="center"/>
    </xf>
    <xf numFmtId="0" fontId="3" fillId="10" borderId="19" applyAlignment="1" pivotButton="0" quotePrefix="0" xfId="0">
      <alignment vertical="center"/>
    </xf>
    <xf numFmtId="0" fontId="3" fillId="10" borderId="18" applyAlignment="1" pivotButton="0" quotePrefix="0" xfId="0">
      <alignment vertical="center"/>
    </xf>
    <xf numFmtId="0" fontId="0" fillId="3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164" fontId="7" fillId="0" borderId="6" applyAlignment="1" pivotButton="0" quotePrefix="0" xfId="0">
      <alignment horizontal="center" vertical="center"/>
    </xf>
    <xf numFmtId="164" fontId="7" fillId="0" borderId="5" applyAlignment="1" pivotButton="0" quotePrefix="0" xfId="0">
      <alignment horizontal="center" vertical="center"/>
    </xf>
    <xf numFmtId="14" fontId="6" fillId="2" borderId="2" applyAlignment="1" pivotButton="0" quotePrefix="0" xfId="0">
      <alignment vertical="center"/>
    </xf>
    <xf numFmtId="165" fontId="5" fillId="11" borderId="2" applyAlignment="1" pivotButton="0" quotePrefix="0" xfId="0">
      <alignment vertical="center"/>
    </xf>
    <xf numFmtId="0" fontId="8" fillId="2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/>
    </xf>
    <xf numFmtId="0" fontId="10" fillId="2" borderId="0" applyAlignment="1" pivotButton="0" quotePrefix="0" xfId="0">
      <alignment horizontal="left" vertical="center"/>
    </xf>
    <xf numFmtId="0" fontId="11" fillId="2" borderId="0" applyAlignment="1" pivotButton="0" quotePrefix="0" xfId="0">
      <alignment horizontal="left" vertical="center"/>
    </xf>
    <xf numFmtId="0" fontId="12" fillId="2" borderId="0" applyAlignment="1" pivotButton="0" quotePrefix="0" xfId="0">
      <alignment horizontal="left" vertical="center"/>
    </xf>
    <xf numFmtId="0" fontId="3" fillId="10" borderId="3" applyAlignment="1" pivotButton="0" quotePrefix="0" xfId="0">
      <alignment horizontal="center" vertical="center"/>
    </xf>
    <xf numFmtId="0" fontId="3" fillId="10" borderId="4" applyAlignment="1" pivotButton="0" quotePrefix="0" xfId="0">
      <alignment horizontal="center" vertical="center"/>
    </xf>
    <xf numFmtId="0" fontId="3" fillId="10" borderId="5" applyAlignment="1" pivotButton="0" quotePrefix="0" xfId="0">
      <alignment horizontal="center" vertical="center"/>
    </xf>
    <xf numFmtId="0" fontId="3" fillId="10" borderId="1" applyAlignment="1" pivotButton="0" quotePrefix="0" xfId="0">
      <alignment horizontal="center" vertical="center"/>
    </xf>
    <xf numFmtId="0" fontId="3" fillId="10" borderId="16" applyAlignment="1" pivotButton="0" quotePrefix="0" xfId="0">
      <alignment horizontal="center" vertical="center"/>
    </xf>
    <xf numFmtId="0" fontId="3" fillId="10" borderId="11" applyAlignment="1" pivotButton="0" quotePrefix="0" xfId="0">
      <alignment horizontal="center" vertical="center"/>
    </xf>
    <xf numFmtId="0" fontId="3" fillId="10" borderId="12" applyAlignment="1" pivotButton="0" quotePrefix="0" xfId="0">
      <alignment horizontal="center" vertical="center"/>
    </xf>
    <xf numFmtId="0" fontId="3" fillId="10" borderId="10" applyAlignment="1" pivotButton="0" quotePrefix="0" xfId="0">
      <alignment horizontal="center" vertical="center"/>
    </xf>
    <xf numFmtId="0" fontId="3" fillId="10" borderId="13" applyAlignment="1" pivotButton="0" quotePrefix="0" xfId="0">
      <alignment horizontal="center" vertical="center"/>
    </xf>
    <xf numFmtId="0" fontId="3" fillId="10" borderId="14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20" pivotButton="0" quotePrefix="0" xfId="0"/>
    <xf numFmtId="0" fontId="0" fillId="0" borderId="22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10" borderId="27" applyAlignment="1" pivotButton="0" quotePrefix="0" xfId="0">
      <alignment horizontal="center" vertical="center"/>
    </xf>
    <xf numFmtId="0" fontId="0" fillId="0" borderId="13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30" pivotButton="0" quotePrefix="0" xfId="0"/>
    <xf numFmtId="0" fontId="0" fillId="0" borderId="29" pivotButton="0" quotePrefix="0" xfId="0"/>
    <xf numFmtId="0" fontId="0" fillId="0" borderId="24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31" pivotButton="0" quotePrefix="0" xfId="0"/>
    <xf numFmtId="0" fontId="0" fillId="0" borderId="32" pivotButton="0" quotePrefix="0" xfId="0"/>
    <xf numFmtId="0" fontId="13" fillId="0" borderId="5" applyAlignment="1" pivotButton="0" quotePrefix="0" xfId="0">
      <alignment vertical="center"/>
    </xf>
    <xf numFmtId="166" fontId="5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ill>
        <patternFill patternType="solid">
          <fgColor rgb="001F4E79"/>
          <bgColor rgb="001F4E79"/>
        </patternFill>
      </fill>
    </dxf>
    <dxf>
      <fill>
        <patternFill patternType="solid">
          <fgColor rgb="002E75B6"/>
          <bgColor rgb="002E75B6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omments/comment1.xml><?xml version="1.0" encoding="utf-8"?>
<comments xmlns="http://schemas.openxmlformats.org/spreadsheetml/2006/main">
  <authors>
    <author>Bayan team</author>
  </authors>
  <commentList>
    <comment ref="F11" authorId="0" shapeId="0">
      <text>
        <t>Pipeline A tasks show 16 Sep, the date they were committed to the repo; the work started earlier.</t>
      </text>
    </comment>
    <comment ref="J11" authorId="0" shapeId="0">
      <text>
        <t>Blank = not started yet. Use the dropdown: Done / In-progress / Delayed.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5:O27"/>
  <sheetViews>
    <sheetView tabSelected="1" zoomScaleNormal="100" workbookViewId="0">
      <selection activeCell="A1" sqref="A1"/>
    </sheetView>
  </sheetViews>
  <sheetFormatPr baseColWidth="8" defaultColWidth="8.5546875" defaultRowHeight="14.4"/>
  <cols>
    <col width="8.5546875" customWidth="1" style="1" min="1" max="16384"/>
  </cols>
  <sheetData>
    <row r="5"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</row>
    <row r="6"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</row>
    <row r="7"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</row>
    <row r="8"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</row>
    <row r="9" ht="15" customHeight="1" s="56">
      <c r="B9" s="3" t="n"/>
      <c r="C9" s="41" t="n"/>
      <c r="D9" s="41" t="inlineStr">
        <is>
          <t>AI Course</t>
        </is>
      </c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</row>
    <row r="10" ht="44.4" customHeight="1" s="56">
      <c r="B10" s="3" t="n"/>
      <c r="C10" s="42" t="n"/>
      <c r="D10" s="42" t="inlineStr">
        <is>
          <t>Capstone Project</t>
        </is>
      </c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</row>
    <row r="11" ht="44.4" customHeight="1" s="56">
      <c r="B11" s="3" t="n"/>
      <c r="C11" s="42" t="n"/>
      <c r="D11" s="42" t="inlineStr">
        <is>
          <t>Work Breakdown Structure</t>
        </is>
      </c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</row>
    <row r="12"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</row>
    <row r="13" ht="15" customHeight="1" s="56">
      <c r="B13" s="3" t="n"/>
      <c r="C13" s="41" t="n"/>
      <c r="D13" s="41" t="inlineStr">
        <is>
          <t>For students</t>
        </is>
      </c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</row>
    <row r="14"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</row>
    <row r="15"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</row>
    <row r="16"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</row>
    <row r="17"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</row>
    <row r="18"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</row>
    <row r="19"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</row>
    <row r="20" ht="9.9" customHeight="1" s="56">
      <c r="B20" s="3" t="n"/>
      <c r="C20" s="43" t="n"/>
      <c r="D20" s="43" t="inlineStr">
        <is>
          <t>ⓒ2025 SAMSUNG. All rights reserved.</t>
        </is>
      </c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</row>
    <row r="21" ht="9.9" customHeight="1" s="56">
      <c r="B21" s="3" t="n"/>
      <c r="C21" s="44" t="n"/>
      <c r="D21" s="44" t="inlineStr">
        <is>
          <t>Samsung Electronics Corporate Citizenship Office holds the copyright of this document.</t>
        </is>
      </c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</row>
    <row r="22" ht="9.9" customHeight="1" s="56">
      <c r="B22" s="3" t="n"/>
      <c r="C22" s="44" t="n"/>
      <c r="D22" s="44" t="inlineStr">
        <is>
          <t xml:space="preserve">This document is a literary property protected by copyright law so reprint and reproduction without permission are prohibited. </t>
        </is>
      </c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</row>
    <row r="23" ht="9.9" customHeight="1" s="56">
      <c r="B23" s="3" t="n"/>
      <c r="C23" s="44" t="n"/>
      <c r="D23" s="44" t="inlineStr">
        <is>
          <t>To use this document other than the curriculum of Samsung Innovation Campus, you must receive written consent from copyright holder.</t>
        </is>
      </c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</row>
    <row r="24"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</row>
    <row r="25" ht="15" customHeight="1" s="56">
      <c r="B25" s="3" t="n"/>
      <c r="C25" s="45" t="n"/>
      <c r="D25" s="45" t="inlineStr">
        <is>
          <t xml:space="preserve">Samsung Innovation Campus                                                                         </t>
        </is>
      </c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</row>
    <row r="26" ht="15" customHeight="1" s="56">
      <c r="B26" s="3" t="n"/>
      <c r="C26" s="3" t="n"/>
      <c r="D26" s="45" t="n"/>
      <c r="E26" s="3" t="n"/>
      <c r="F26" s="3" t="n"/>
      <c r="G26" s="3" t="n"/>
      <c r="H26" s="3" t="n"/>
      <c r="I26" s="3" t="n"/>
      <c r="J26" s="3" t="n"/>
      <c r="K26" s="3" t="n"/>
      <c r="L26" s="3" t="n"/>
      <c r="M26" s="3" t="n"/>
      <c r="N26" s="3" t="n"/>
      <c r="O26" s="3" t="n"/>
    </row>
    <row r="27">
      <c r="B27" s="3" t="n"/>
      <c r="C27" s="3" t="n"/>
      <c r="D27" s="3" t="n"/>
      <c r="E27" s="3" t="n"/>
      <c r="F27" s="3" t="n"/>
      <c r="G27" s="3" t="n"/>
      <c r="H27" s="3" t="n"/>
      <c r="I27" s="3" t="n"/>
      <c r="J27" s="3" t="n"/>
      <c r="K27" s="3" t="n"/>
      <c r="L27" s="3" t="n"/>
      <c r="M27" s="3" t="n"/>
      <c r="N27" s="3" t="n"/>
      <c r="O27" s="3" t="n"/>
    </row>
  </sheetData>
  <pageMargins left="0.25" right="0.25" top="0.75" bottom="0.75" header="0.3" footer="0.3"/>
  <pageSetup orientation="landscape" paperSize="9" fitToHeight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2:AD76"/>
  <sheetViews>
    <sheetView zoomScale="70" zoomScaleNormal="70" workbookViewId="0">
      <pane xSplit="10" ySplit="13" topLeftCell="K14" activePane="bottomRight" state="frozen"/>
      <selection pane="topRight" activeCell="K1" sqref="K1"/>
      <selection pane="bottomLeft" activeCell="A16" sqref="A16"/>
      <selection pane="bottomRight" activeCell="I8" sqref="I8"/>
    </sheetView>
  </sheetViews>
  <sheetFormatPr baseColWidth="8" defaultColWidth="8.5546875" defaultRowHeight="14.4"/>
  <cols>
    <col width="2.44140625" customWidth="1" style="1" min="1" max="1"/>
    <col width="6.88671875" customWidth="1" style="1" min="2" max="4"/>
    <col width="66" customWidth="1" style="1" min="5" max="5"/>
    <col outlineLevel="1" width="12.109375" customWidth="1" style="34" min="6" max="7"/>
    <col outlineLevel="1" width="30" customWidth="1" style="1" min="8" max="8"/>
    <col outlineLevel="1" width="30" customWidth="1" style="34" min="9" max="9"/>
    <col outlineLevel="1" width="12.109375" customWidth="1" style="34" min="10" max="10"/>
    <col width="6.88671875" customWidth="1" style="1" min="11" max="30"/>
    <col width="8.5546875" customWidth="1" style="1" min="31" max="16384"/>
  </cols>
  <sheetData>
    <row r="1" ht="15" customHeight="1" s="56" thickBot="1"/>
    <row r="2" ht="18" customHeight="1" s="56" thickBot="1">
      <c r="B2" s="28" t="inlineStr">
        <is>
          <t>Capstone Project Work Breakdown Structure (WBS)</t>
        </is>
      </c>
      <c r="C2" s="29" t="n"/>
      <c r="D2" s="29" t="n"/>
      <c r="E2" s="30" t="n"/>
    </row>
    <row r="3" hidden="1" s="56">
      <c r="B3" s="2" t="n"/>
      <c r="C3" s="2" t="n"/>
      <c r="D3" s="2" t="n"/>
      <c r="E3" s="2" t="n"/>
      <c r="J3" s="35" t="inlineStr">
        <is>
          <t>Done</t>
        </is>
      </c>
    </row>
    <row r="4" hidden="1" s="56">
      <c r="B4" s="2" t="n"/>
      <c r="C4" s="2" t="n"/>
      <c r="D4" s="2" t="n"/>
      <c r="E4" s="2" t="n"/>
      <c r="J4" s="35" t="inlineStr">
        <is>
          <t>In-progress</t>
        </is>
      </c>
    </row>
    <row r="5" hidden="1" s="56">
      <c r="B5" s="2" t="n"/>
      <c r="C5" s="2" t="n"/>
      <c r="D5" s="2" t="n"/>
      <c r="E5" s="2" t="n"/>
      <c r="J5" s="35" t="inlineStr">
        <is>
          <t>Delayed</t>
        </is>
      </c>
    </row>
    <row r="6" ht="15" customHeight="1" s="56" thickBot="1">
      <c r="J6" s="35" t="n"/>
    </row>
    <row r="7" ht="15" customHeight="1" s="56" thickBot="1">
      <c r="B7" s="31" t="inlineStr">
        <is>
          <t>Today</t>
        </is>
      </c>
      <c r="C7" s="33" t="n"/>
      <c r="D7" s="32" t="n"/>
      <c r="E7" s="39">
        <f>TODAY()</f>
        <v/>
      </c>
    </row>
    <row r="8" ht="15" customHeight="1" s="56" thickBot="1">
      <c r="B8" s="31" t="inlineStr">
        <is>
          <t>Project Team Name</t>
        </is>
      </c>
      <c r="C8" s="33" t="n"/>
      <c r="D8" s="32" t="n"/>
      <c r="E8" s="40" t="inlineStr">
        <is>
          <t>Group 6 (Cogni)</t>
        </is>
      </c>
    </row>
    <row r="9" ht="15" customHeight="1" s="56" thickBot="1">
      <c r="B9" s="31" t="inlineStr">
        <is>
          <t>Project Topic</t>
        </is>
      </c>
      <c r="C9" s="33" t="n"/>
      <c r="D9" s="32" t="n"/>
      <c r="E9" s="40" t="inlineStr">
        <is>
          <t>Bayan: Arabic text simplification assistant for readers with dyslexia</t>
        </is>
      </c>
    </row>
    <row r="10" ht="15" customHeight="1" s="56" thickBot="1"/>
    <row r="11">
      <c r="B11" s="46" t="inlineStr">
        <is>
          <t>Task</t>
        </is>
      </c>
      <c r="C11" s="57" t="n"/>
      <c r="D11" s="57" t="n"/>
      <c r="E11" s="58" t="n"/>
      <c r="F11" s="47" t="inlineStr">
        <is>
          <t>Start date</t>
        </is>
      </c>
      <c r="G11" s="47" t="inlineStr">
        <is>
          <t>End date</t>
        </is>
      </c>
      <c r="H11" s="47" t="inlineStr">
        <is>
          <t>Responsibility</t>
        </is>
      </c>
      <c r="I11" s="47" t="inlineStr">
        <is>
          <t>Deliverable</t>
        </is>
      </c>
      <c r="J11" s="53" t="inlineStr">
        <is>
          <t>Task Status</t>
        </is>
      </c>
      <c r="K11" s="46" t="inlineStr">
        <is>
          <t>W1</t>
        </is>
      </c>
      <c r="L11" s="59" t="n"/>
      <c r="M11" s="59" t="n"/>
      <c r="N11" s="59" t="n"/>
      <c r="O11" s="60" t="n"/>
      <c r="P11" s="47" t="inlineStr">
        <is>
          <t>W2</t>
        </is>
      </c>
      <c r="Q11" s="59" t="n"/>
      <c r="R11" s="59" t="n"/>
      <c r="S11" s="59" t="n"/>
      <c r="T11" s="60" t="n"/>
      <c r="U11" s="47" t="inlineStr">
        <is>
          <t>W3</t>
        </is>
      </c>
      <c r="V11" s="59" t="n"/>
      <c r="W11" s="59" t="n"/>
      <c r="X11" s="59" t="n"/>
      <c r="Y11" s="60" t="n"/>
      <c r="Z11" s="61" t="inlineStr">
        <is>
          <t>W4</t>
        </is>
      </c>
      <c r="AA11" s="59" t="n"/>
      <c r="AB11" s="59" t="n"/>
      <c r="AC11" s="59" t="n"/>
      <c r="AD11" s="62" t="n"/>
    </row>
    <row r="12">
      <c r="B12" s="63" t="n"/>
      <c r="E12" s="64" t="n"/>
      <c r="F12" s="65" t="n"/>
      <c r="G12" s="65" t="n"/>
      <c r="H12" s="65" t="n"/>
      <c r="I12" s="65" t="n"/>
      <c r="J12" s="66" t="n"/>
      <c r="K12" s="4" t="inlineStr">
        <is>
          <t>D1</t>
        </is>
      </c>
      <c r="L12" s="5" t="inlineStr">
        <is>
          <t>D2</t>
        </is>
      </c>
      <c r="M12" s="5" t="inlineStr">
        <is>
          <t>D3</t>
        </is>
      </c>
      <c r="N12" s="5" t="inlineStr">
        <is>
          <t>D4</t>
        </is>
      </c>
      <c r="O12" s="5" t="inlineStr">
        <is>
          <t>D5</t>
        </is>
      </c>
      <c r="P12" s="5" t="inlineStr">
        <is>
          <t>D6</t>
        </is>
      </c>
      <c r="Q12" s="5" t="inlineStr">
        <is>
          <t>D7</t>
        </is>
      </c>
      <c r="R12" s="5" t="inlineStr">
        <is>
          <t>D8</t>
        </is>
      </c>
      <c r="S12" s="5" t="inlineStr">
        <is>
          <t>D9</t>
        </is>
      </c>
      <c r="T12" s="5" t="inlineStr">
        <is>
          <t>D10</t>
        </is>
      </c>
      <c r="U12" s="5" t="inlineStr">
        <is>
          <t>D11</t>
        </is>
      </c>
      <c r="V12" s="5" t="inlineStr">
        <is>
          <t>D12</t>
        </is>
      </c>
      <c r="W12" s="5" t="inlineStr">
        <is>
          <t>D13</t>
        </is>
      </c>
      <c r="X12" s="5" t="inlineStr">
        <is>
          <t>D14</t>
        </is>
      </c>
      <c r="Y12" s="5" t="inlineStr">
        <is>
          <t>D15</t>
        </is>
      </c>
      <c r="Z12" s="5" t="inlineStr">
        <is>
          <t>D16</t>
        </is>
      </c>
      <c r="AA12" s="5" t="inlineStr">
        <is>
          <t>D17</t>
        </is>
      </c>
      <c r="AB12" s="5" t="inlineStr">
        <is>
          <t>D18</t>
        </is>
      </c>
      <c r="AC12" s="5" t="inlineStr">
        <is>
          <t>D19</t>
        </is>
      </c>
      <c r="AD12" s="6" t="inlineStr">
        <is>
          <t>D20</t>
        </is>
      </c>
    </row>
    <row r="13">
      <c r="B13" s="67" t="n"/>
      <c r="C13" s="68" t="n"/>
      <c r="D13" s="68" t="n"/>
      <c r="E13" s="69" t="n"/>
      <c r="F13" s="70" t="n"/>
      <c r="G13" s="70" t="n"/>
      <c r="H13" s="70" t="n"/>
      <c r="I13" s="70" t="n"/>
      <c r="J13" s="71" t="n"/>
      <c r="K13" s="38" t="n">
        <v>46281</v>
      </c>
      <c r="L13" s="36">
        <f>K13+1</f>
        <v/>
      </c>
      <c r="M13" s="36">
        <f>L13+1</f>
        <v/>
      </c>
      <c r="N13" s="36">
        <f>M13+1</f>
        <v/>
      </c>
      <c r="O13" s="36">
        <f>N13+1</f>
        <v/>
      </c>
      <c r="P13" s="36">
        <f>O13+1</f>
        <v/>
      </c>
      <c r="Q13" s="36">
        <f>P13+1</f>
        <v/>
      </c>
      <c r="R13" s="36">
        <f>Q13+1</f>
        <v/>
      </c>
      <c r="S13" s="36">
        <f>R13+1</f>
        <v/>
      </c>
      <c r="T13" s="36">
        <f>S13+1</f>
        <v/>
      </c>
      <c r="U13" s="36">
        <f>T13+1</f>
        <v/>
      </c>
      <c r="V13" s="36">
        <f>U13+1</f>
        <v/>
      </c>
      <c r="W13" s="36">
        <f>V13+1</f>
        <v/>
      </c>
      <c r="X13" s="36">
        <f>W13+1</f>
        <v/>
      </c>
      <c r="Y13" s="36">
        <f>X13+1</f>
        <v/>
      </c>
      <c r="Z13" s="36">
        <f>Y13+1</f>
        <v/>
      </c>
      <c r="AA13" s="36">
        <f>Z13+1</f>
        <v/>
      </c>
      <c r="AB13" s="36">
        <f>AA13+1</f>
        <v/>
      </c>
      <c r="AC13" s="36">
        <f>AB13+1</f>
        <v/>
      </c>
      <c r="AD13" s="37">
        <f>AC13+1</f>
        <v/>
      </c>
    </row>
    <row r="14" s="56">
      <c r="B14" s="72" t="inlineStr">
        <is>
          <t>1. Project initiation and planning</t>
        </is>
      </c>
      <c r="C14" s="8" t="n"/>
      <c r="D14" s="8" t="n"/>
      <c r="E14" s="9" t="n"/>
      <c r="F14" s="73">
        <f>MIN(F15:F19)</f>
        <v/>
      </c>
      <c r="G14" s="73">
        <f>MAX(G15:G19)</f>
        <v/>
      </c>
      <c r="H14" s="9" t="inlineStr">
        <is>
          <t>Marwan, Abdulrahman</t>
        </is>
      </c>
      <c r="I14" s="10" t="inlineStr"/>
      <c r="J14" s="11" t="inlineStr">
        <is>
          <t>Done</t>
        </is>
      </c>
      <c r="K14" s="7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14" t="n"/>
    </row>
    <row r="15" s="56">
      <c r="B15" s="7" t="n"/>
      <c r="C15" s="8" t="inlineStr">
        <is>
          <t>1.1. Project brief and reference architecture</t>
        </is>
      </c>
      <c r="D15" s="8" t="n"/>
      <c r="E15" s="9" t="n"/>
      <c r="F15" s="73" t="n">
        <v>46281</v>
      </c>
      <c r="G15" s="73" t="n">
        <v>46281</v>
      </c>
      <c r="H15" s="9" t="inlineStr">
        <is>
          <t>Abdulrahman</t>
        </is>
      </c>
      <c r="I15" s="10" t="inlineStr">
        <is>
          <t>Brief, architecture report</t>
        </is>
      </c>
      <c r="J15" s="11" t="inlineStr">
        <is>
          <t>Done</t>
        </is>
      </c>
      <c r="K15" s="7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14" t="n"/>
    </row>
    <row r="16" s="56">
      <c r="B16" s="7" t="n"/>
      <c r="C16" s="8" t="inlineStr">
        <is>
          <t>1.2. Verified literature and benchmark references</t>
        </is>
      </c>
      <c r="D16" s="8" t="n"/>
      <c r="E16" s="9" t="n"/>
      <c r="F16" s="73" t="n">
        <v>46281</v>
      </c>
      <c r="G16" s="73" t="n">
        <v>46282</v>
      </c>
      <c r="H16" s="9" t="inlineStr">
        <is>
          <t>Marwan</t>
        </is>
      </c>
      <c r="I16" s="10" t="inlineStr">
        <is>
          <t>Reference library</t>
        </is>
      </c>
      <c r="J16" s="11" t="inlineStr">
        <is>
          <t>Done</t>
        </is>
      </c>
      <c r="K16" s="7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14" t="n"/>
    </row>
    <row r="17" s="56">
      <c r="B17" s="7" t="n"/>
      <c r="C17" s="8" t="inlineStr">
        <is>
          <t>1.3. Action Plan draft</t>
        </is>
      </c>
      <c r="D17" s="8" t="n"/>
      <c r="E17" s="9" t="n"/>
      <c r="F17" s="73" t="n">
        <v>46282</v>
      </c>
      <c r="G17" s="73" t="n">
        <v>46284</v>
      </c>
      <c r="H17" s="9" t="inlineStr">
        <is>
          <t>Marwan</t>
        </is>
      </c>
      <c r="I17" s="10" t="inlineStr">
        <is>
          <t>Action Plan draft</t>
        </is>
      </c>
      <c r="J17" s="11" t="inlineStr">
        <is>
          <t>Done</t>
        </is>
      </c>
      <c r="K17" s="7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14" t="n"/>
    </row>
    <row r="18" s="56">
      <c r="B18" s="7" t="n"/>
      <c r="C18" s="8" t="inlineStr">
        <is>
          <t>1.4. Execution plan: 13 milestones with risks and mitigations</t>
        </is>
      </c>
      <c r="D18" s="8" t="n"/>
      <c r="E18" s="9" t="n"/>
      <c r="F18" s="73" t="n">
        <v>46281</v>
      </c>
      <c r="G18" s="73" t="n">
        <v>46281</v>
      </c>
      <c r="H18" s="9" t="inlineStr">
        <is>
          <t>Abdulrahman</t>
        </is>
      </c>
      <c r="I18" s="10" t="inlineStr">
        <is>
          <t>Execution plan</t>
        </is>
      </c>
      <c r="J18" s="11" t="inlineStr">
        <is>
          <t>Done</t>
        </is>
      </c>
      <c r="K18" s="7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14" t="n"/>
    </row>
    <row r="19" s="56">
      <c r="B19" s="7" t="n"/>
      <c r="C19" s="8" t="inlineStr">
        <is>
          <t>1.5. Final Action Plan, every claim labelled measured / decided / planned (#25)</t>
        </is>
      </c>
      <c r="D19" s="8" t="n"/>
      <c r="E19" s="9" t="n"/>
      <c r="F19" s="73" t="n">
        <v>46286</v>
      </c>
      <c r="G19" s="73" t="n">
        <v>46287</v>
      </c>
      <c r="H19" s="9" t="inlineStr">
        <is>
          <t>Marwan</t>
        </is>
      </c>
      <c r="I19" s="10" t="inlineStr">
        <is>
          <t>Final Action Plan</t>
        </is>
      </c>
      <c r="J19" s="11" t="inlineStr">
        <is>
          <t>Done</t>
        </is>
      </c>
      <c r="K19" s="7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14" t="n"/>
    </row>
    <row r="20" s="56">
      <c r="B20" s="72" t="inlineStr">
        <is>
          <t>2. Project management</t>
        </is>
      </c>
      <c r="C20" s="8" t="n"/>
      <c r="D20" s="8" t="n"/>
      <c r="E20" s="9" t="n"/>
      <c r="F20" s="73">
        <f>MIN(F21:F25)</f>
        <v/>
      </c>
      <c r="G20" s="73">
        <f>MAX(G21:G25)</f>
        <v/>
      </c>
      <c r="H20" s="9" t="inlineStr">
        <is>
          <t>Marwan</t>
        </is>
      </c>
      <c r="I20" s="10" t="inlineStr"/>
      <c r="J20" s="11" t="inlineStr">
        <is>
          <t>Done</t>
        </is>
      </c>
      <c r="K20" s="7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14" t="n"/>
    </row>
    <row r="21" s="56">
      <c r="B21" s="7" t="n"/>
      <c r="C21" s="8" t="inlineStr">
        <is>
          <t>2.1. Team setup: repository, workflow and roles</t>
        </is>
      </c>
      <c r="D21" s="8" t="n"/>
      <c r="E21" s="9" t="n"/>
      <c r="F21" s="73" t="n">
        <v>46282</v>
      </c>
      <c r="G21" s="73" t="n">
        <v>46283</v>
      </c>
      <c r="H21" s="9" t="inlineStr">
        <is>
          <t>Marwan</t>
        </is>
      </c>
      <c r="I21" s="10" t="inlineStr">
        <is>
          <t>Repository, team guidance</t>
        </is>
      </c>
      <c r="J21" s="11" t="inlineStr">
        <is>
          <t>Done</t>
        </is>
      </c>
      <c r="K21" s="7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14" t="n"/>
    </row>
    <row r="22" s="56">
      <c r="B22" s="7" t="n"/>
      <c r="C22" s="8" t="inlineStr">
        <is>
          <t>2.2. Risk register and data contingency plan</t>
        </is>
      </c>
      <c r="D22" s="8" t="n"/>
      <c r="E22" s="9" t="n"/>
      <c r="F22" s="73" t="n">
        <v>46283</v>
      </c>
      <c r="G22" s="73" t="n">
        <v>46284</v>
      </c>
      <c r="H22" s="9" t="inlineStr">
        <is>
          <t>Marwan</t>
        </is>
      </c>
      <c r="I22" s="10" t="inlineStr">
        <is>
          <t>Risk register</t>
        </is>
      </c>
      <c r="J22" s="11" t="inlineStr">
        <is>
          <t>Done</t>
        </is>
      </c>
      <c r="K22" s="7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14" t="n"/>
    </row>
    <row r="23" s="56">
      <c r="B23" s="7" t="n"/>
      <c r="C23" s="8" t="inlineStr">
        <is>
          <t>2.3. Product form decision record: Android plugin, on device (#9)</t>
        </is>
      </c>
      <c r="D23" s="8" t="n"/>
      <c r="E23" s="9" t="n"/>
      <c r="F23" s="73" t="n">
        <v>46285</v>
      </c>
      <c r="G23" s="73" t="n">
        <v>46285</v>
      </c>
      <c r="H23" s="9" t="inlineStr">
        <is>
          <t>Marwan, Mohammed</t>
        </is>
      </c>
      <c r="I23" s="10" t="inlineStr">
        <is>
          <t>Decision record</t>
        </is>
      </c>
      <c r="J23" s="11" t="inlineStr">
        <is>
          <t>Done</t>
        </is>
      </c>
      <c r="K23" s="7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14" t="n"/>
    </row>
    <row r="24" s="56">
      <c r="B24" s="7" t="n"/>
      <c r="C24" s="8" t="inlineStr">
        <is>
          <t>2.4. Task issues with handoffs, and pull-request reviews</t>
        </is>
      </c>
      <c r="D24" s="8" t="n"/>
      <c r="E24" s="9" t="n"/>
      <c r="F24" s="73" t="n">
        <v>46284</v>
      </c>
      <c r="G24" s="73" t="n">
        <v>46299</v>
      </c>
      <c r="H24" s="9" t="inlineStr">
        <is>
          <t>Marwan</t>
        </is>
      </c>
      <c r="I24" s="10" t="inlineStr">
        <is>
          <t>GitHub issues, reviews</t>
        </is>
      </c>
      <c r="J24" s="11" t="inlineStr">
        <is>
          <t>Done</t>
        </is>
      </c>
      <c r="K24" s="7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14" t="n"/>
    </row>
    <row r="25" s="56">
      <c r="B25" s="7" t="n"/>
      <c r="C25" s="8" t="inlineStr">
        <is>
          <t>2.5. Mentoring sessions: progress shown (23 and 30 Sep)</t>
        </is>
      </c>
      <c r="D25" s="8" t="n"/>
      <c r="E25" s="9" t="n"/>
      <c r="F25" s="73" t="n">
        <v>46288</v>
      </c>
      <c r="G25" s="73" t="n">
        <v>46295</v>
      </c>
      <c r="H25" s="9" t="inlineStr">
        <is>
          <t>Marwan</t>
        </is>
      </c>
      <c r="I25" s="10" t="inlineStr">
        <is>
          <t>Progress reports</t>
        </is>
      </c>
      <c r="J25" s="11" t="inlineStr">
        <is>
          <t>Done</t>
        </is>
      </c>
      <c r="K25" s="7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14" t="n"/>
    </row>
    <row r="26" s="56">
      <c r="B26" s="72" t="inlineStr">
        <is>
          <t>3. Data</t>
        </is>
      </c>
      <c r="C26" s="8" t="n"/>
      <c r="D26" s="8" t="n"/>
      <c r="E26" s="9" t="n"/>
      <c r="F26" s="73">
        <f>MIN(F27:F42)</f>
        <v/>
      </c>
      <c r="G26" s="73">
        <f>MAX(G27:G42)</f>
        <v/>
      </c>
      <c r="H26" s="9" t="inlineStr">
        <is>
          <t>Abdulrahman, Marwan, Ahmed</t>
        </is>
      </c>
      <c r="I26" s="10" t="inlineStr"/>
      <c r="J26" s="11" t="inlineStr">
        <is>
          <t>Done</t>
        </is>
      </c>
      <c r="K26" s="7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14" t="n"/>
    </row>
    <row r="27" s="56">
      <c r="B27" s="7" t="n"/>
      <c r="C27" s="8" t="inlineStr">
        <is>
          <t>3.1. BAREC readability analysis</t>
        </is>
      </c>
      <c r="D27" s="8" t="n"/>
      <c r="E27" s="9" t="n"/>
      <c r="F27" s="73" t="n">
        <v>46281</v>
      </c>
      <c r="G27" s="73" t="n">
        <v>46281</v>
      </c>
      <c r="H27" s="9" t="inlineStr">
        <is>
          <t>Abdulrahman</t>
        </is>
      </c>
      <c r="I27" s="10" t="inlineStr">
        <is>
          <t>Analysis report</t>
        </is>
      </c>
      <c r="J27" s="11" t="inlineStr">
        <is>
          <t>Done</t>
        </is>
      </c>
      <c r="K27" s="7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14" t="n"/>
    </row>
    <row r="28" s="56">
      <c r="B28" s="7" t="n"/>
      <c r="C28" s="8" t="inlineStr">
        <is>
          <t>3.2. Reading-level classifier, ONNX int8 (CAMeL AraBERT) (#17, #20)</t>
        </is>
      </c>
      <c r="D28" s="8" t="n"/>
      <c r="E28" s="9" t="n"/>
      <c r="F28" s="73" t="n">
        <v>46281</v>
      </c>
      <c r="G28" s="73" t="n">
        <v>46286</v>
      </c>
      <c r="H28" s="9" t="inlineStr">
        <is>
          <t>Abdulrahman</t>
        </is>
      </c>
      <c r="I28" s="10" t="inlineStr">
        <is>
          <t>Level classifier</t>
        </is>
      </c>
      <c r="J28" s="11" t="inlineStr">
        <is>
          <t>Done</t>
        </is>
      </c>
      <c r="K28" s="7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14" t="n"/>
    </row>
    <row r="29" s="56">
      <c r="B29" s="7" t="n"/>
      <c r="C29" s="8" t="inlineStr">
        <is>
          <t>3.3. Equivalence validator and easy-band gate</t>
        </is>
      </c>
      <c r="D29" s="8" t="n"/>
      <c r="E29" s="9" t="n"/>
      <c r="F29" s="73" t="n">
        <v>46281</v>
      </c>
      <c r="G29" s="73" t="n">
        <v>46285</v>
      </c>
      <c r="H29" s="9" t="inlineStr">
        <is>
          <t>Abdulrahman</t>
        </is>
      </c>
      <c r="I29" s="10" t="inlineStr">
        <is>
          <t>Validator, gate</t>
        </is>
      </c>
      <c r="J29" s="11" t="inlineStr">
        <is>
          <t>Done</t>
        </is>
      </c>
      <c r="K29" s="7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14" t="n"/>
    </row>
    <row r="30" s="56">
      <c r="B30" s="7" t="n"/>
      <c r="C30" s="8" t="inlineStr">
        <is>
          <t>3.4. Synthetic data pipeline A (DeepSeek on BAREC)</t>
        </is>
      </c>
      <c r="D30" s="8" t="n"/>
      <c r="E30" s="9" t="n"/>
      <c r="F30" s="73" t="n">
        <v>46281</v>
      </c>
      <c r="G30" s="73" t="n">
        <v>46281</v>
      </c>
      <c r="H30" s="9" t="inlineStr">
        <is>
          <t>Abdulrahman</t>
        </is>
      </c>
      <c r="I30" s="10" t="inlineStr">
        <is>
          <t>Pipeline A</t>
        </is>
      </c>
      <c r="J30" s="11" t="inlineStr">
        <is>
          <t>Done</t>
        </is>
      </c>
      <c r="K30" s="7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14" t="n"/>
    </row>
    <row r="31" s="56">
      <c r="B31" s="7" t="n"/>
      <c r="C31" s="8" t="inlineStr">
        <is>
          <t>3.5. Pipeline A 10% run: 3,010 sentences scored, 5,054 clean pairs</t>
        </is>
      </c>
      <c r="D31" s="8" t="n"/>
      <c r="E31" s="9" t="n"/>
      <c r="F31" s="73" t="n">
        <v>46281</v>
      </c>
      <c r="G31" s="73" t="n">
        <v>46282</v>
      </c>
      <c r="H31" s="9" t="inlineStr">
        <is>
          <t>Abdulrahman</t>
        </is>
      </c>
      <c r="I31" s="10" t="inlineStr">
        <is>
          <t>Generated pairs v1</t>
        </is>
      </c>
      <c r="J31" s="11" t="inlineStr">
        <is>
          <t>Done</t>
        </is>
      </c>
      <c r="K31" s="7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14" t="n"/>
    </row>
    <row r="32" s="56">
      <c r="B32" s="7" t="n"/>
      <c r="C32" s="8" t="inlineStr">
        <is>
          <t>3.6. Synthetic data pipeline B (Gemini and Gemma): 5,618 checked pairs</t>
        </is>
      </c>
      <c r="D32" s="8" t="n"/>
      <c r="E32" s="9" t="n"/>
      <c r="F32" s="73" t="n">
        <v>46283</v>
      </c>
      <c r="G32" s="73" t="n">
        <v>46284</v>
      </c>
      <c r="H32" s="9" t="inlineStr">
        <is>
          <t>Marwan</t>
        </is>
      </c>
      <c r="I32" s="10" t="inlineStr">
        <is>
          <t>Synthetic dataset v1</t>
        </is>
      </c>
      <c r="J32" s="11" t="inlineStr">
        <is>
          <t>Done</t>
        </is>
      </c>
      <c r="K32" s="7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14" t="n"/>
    </row>
    <row r="33" s="56">
      <c r="B33" s="7" t="n"/>
      <c r="C33" s="8" t="inlineStr">
        <is>
          <t>3.7. Shared data format specification</t>
        </is>
      </c>
      <c r="D33" s="8" t="n"/>
      <c r="E33" s="9" t="n"/>
      <c r="F33" s="73" t="n">
        <v>46284</v>
      </c>
      <c r="G33" s="73" t="n">
        <v>46284</v>
      </c>
      <c r="H33" s="9" t="inlineStr">
        <is>
          <t>Marwan, Abdulrahman</t>
        </is>
      </c>
      <c r="I33" s="10" t="inlineStr">
        <is>
          <t>Format spec</t>
        </is>
      </c>
      <c r="J33" s="11" t="inlineStr">
        <is>
          <t>Done</t>
        </is>
      </c>
      <c r="K33" s="7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14" t="n"/>
    </row>
    <row r="34" s="56">
      <c r="B34" s="7" t="n"/>
      <c r="C34" s="8" t="inlineStr">
        <is>
          <t>3.8. Word-difficulty lexicon (24,458 words)</t>
        </is>
      </c>
      <c r="D34" s="8" t="n"/>
      <c r="E34" s="9" t="n"/>
      <c r="F34" s="73" t="n">
        <v>46285</v>
      </c>
      <c r="G34" s="73" t="n">
        <v>46285</v>
      </c>
      <c r="H34" s="9" t="inlineStr">
        <is>
          <t>Abdulrahman</t>
        </is>
      </c>
      <c r="I34" s="10" t="inlineStr">
        <is>
          <t>Lexicon</t>
        </is>
      </c>
      <c r="J34" s="11" t="inlineStr">
        <is>
          <t>Done</t>
        </is>
      </c>
      <c r="K34" s="7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14" t="n"/>
    </row>
    <row r="35" s="56">
      <c r="B35" s="7" t="n"/>
      <c r="C35" s="8" t="inlineStr">
        <is>
          <t>3.9. Validation module (scripts/validation.py) (#10, #11)</t>
        </is>
      </c>
      <c r="D35" s="8" t="n"/>
      <c r="E35" s="9" t="n"/>
      <c r="F35" s="73" t="n">
        <v>46284</v>
      </c>
      <c r="G35" s="73" t="n">
        <v>46285</v>
      </c>
      <c r="H35" s="9" t="inlineStr">
        <is>
          <t>Abdulrahman, Marwan</t>
        </is>
      </c>
      <c r="I35" s="10" t="inlineStr">
        <is>
          <t>Validation module</t>
        </is>
      </c>
      <c r="J35" s="11" t="inlineStr">
        <is>
          <t>Done</t>
        </is>
      </c>
      <c r="K35" s="7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14" t="n"/>
    </row>
    <row r="36" s="56">
      <c r="B36" s="7" t="n"/>
      <c r="C36" s="8" t="inlineStr">
        <is>
          <t>3.10. Human review set (500 pairs) and annotation tool</t>
        </is>
      </c>
      <c r="D36" s="8" t="n"/>
      <c r="E36" s="9" t="n"/>
      <c r="F36" s="73" t="n">
        <v>46285</v>
      </c>
      <c r="G36" s="73" t="n">
        <v>46285</v>
      </c>
      <c r="H36" s="9" t="inlineStr">
        <is>
          <t>Abdulrahman</t>
        </is>
      </c>
      <c r="I36" s="10" t="inlineStr">
        <is>
          <t>Review set, tool</t>
        </is>
      </c>
      <c r="J36" s="11" t="inlineStr">
        <is>
          <t>Done</t>
        </is>
      </c>
      <c r="K36" s="7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14" t="n"/>
    </row>
    <row r="37" s="56">
      <c r="B37" s="7" t="n"/>
      <c r="C37" s="8" t="inlineStr">
        <is>
          <t>3.11. SAMER corpus in the shared format (#5)</t>
        </is>
      </c>
      <c r="D37" s="8" t="n"/>
      <c r="E37" s="9" t="n"/>
      <c r="F37" s="73" t="n">
        <v>46284</v>
      </c>
      <c r="G37" s="73" t="n">
        <v>46286</v>
      </c>
      <c r="H37" s="9" t="inlineStr">
        <is>
          <t>Ahmed</t>
        </is>
      </c>
      <c r="I37" s="10" t="inlineStr">
        <is>
          <t>SAMER dataset</t>
        </is>
      </c>
      <c r="J37" s="11" t="inlineStr">
        <is>
          <t>Done</t>
        </is>
      </c>
      <c r="K37" s="7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14" t="n"/>
    </row>
    <row r="38" s="56">
      <c r="B38" s="7" t="n"/>
      <c r="C38" s="8" t="inlineStr">
        <is>
          <t>3.12. Leakage audit: 9.3% of Baseet in the locked test sets; leakage gate</t>
        </is>
      </c>
      <c r="D38" s="8" t="n"/>
      <c r="E38" s="9" t="n"/>
      <c r="F38" s="73" t="n">
        <v>46286</v>
      </c>
      <c r="G38" s="73" t="n">
        <v>46286</v>
      </c>
      <c r="H38" s="9" t="inlineStr">
        <is>
          <t>Marwan</t>
        </is>
      </c>
      <c r="I38" s="10" t="inlineStr">
        <is>
          <t>Audit, clean data</t>
        </is>
      </c>
      <c r="J38" s="11" t="inlineStr">
        <is>
          <t>Done</t>
        </is>
      </c>
      <c r="K38" s="7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14" t="n"/>
    </row>
    <row r="39" s="56">
      <c r="B39" s="7" t="n"/>
      <c r="C39" s="8" t="inlineStr">
        <is>
          <t>3.13. Re-labelled synthetic export (#12)</t>
        </is>
      </c>
      <c r="D39" s="8" t="n"/>
      <c r="E39" s="9" t="n"/>
      <c r="F39" s="73" t="n">
        <v>46285</v>
      </c>
      <c r="G39" s="73" t="n">
        <v>46290</v>
      </c>
      <c r="H39" s="9" t="inlineStr">
        <is>
          <t>Abdulrahman</t>
        </is>
      </c>
      <c r="I39" s="10" t="inlineStr">
        <is>
          <t>Re-labelled export</t>
        </is>
      </c>
      <c r="J39" s="11" t="inlineStr">
        <is>
          <t>Done</t>
        </is>
      </c>
      <c r="K39" s="7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14" t="n"/>
    </row>
    <row r="40" s="56">
      <c r="B40" s="7" t="n"/>
      <c r="C40" s="8" t="inlineStr">
        <is>
          <t>3.14. Model-2 training data: 22,733 tagged, meaning-filtered pairs</t>
        </is>
      </c>
      <c r="D40" s="8" t="n"/>
      <c r="E40" s="9" t="n"/>
      <c r="F40" s="73" t="n">
        <v>46287</v>
      </c>
      <c r="G40" s="73" t="n">
        <v>46289</v>
      </c>
      <c r="H40" s="9" t="inlineStr">
        <is>
          <t>Marwan</t>
        </is>
      </c>
      <c r="I40" s="10" t="inlineStr">
        <is>
          <t>Training set</t>
        </is>
      </c>
      <c r="J40" s="11" t="inlineStr">
        <is>
          <t>Done</t>
        </is>
      </c>
      <c r="K40" s="7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14" t="n"/>
    </row>
    <row r="41" s="56">
      <c r="B41" s="7" t="n"/>
      <c r="C41" s="8" t="inlineStr">
        <is>
          <t>3.15. Synthetic corpus v0 exported and published: 13,072 pairs (#8, #38, #42)</t>
        </is>
      </c>
      <c r="D41" s="8" t="n"/>
      <c r="E41" s="9" t="n"/>
      <c r="F41" s="73" t="n">
        <v>46290</v>
      </c>
      <c r="G41" s="73" t="n">
        <v>46295</v>
      </c>
      <c r="H41" s="9" t="inlineStr">
        <is>
          <t>Abdulrahman</t>
        </is>
      </c>
      <c r="I41" s="10" t="inlineStr">
        <is>
          <t>Corpus v0 (Hub)</t>
        </is>
      </c>
      <c r="J41" s="11" t="inlineStr">
        <is>
          <t>Done</t>
        </is>
      </c>
      <c r="K41" s="7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14" t="n"/>
    </row>
    <row r="42" s="56">
      <c r="B42" s="7" t="n"/>
      <c r="C42" s="8" t="inlineStr">
        <is>
          <t>3.16. Corpus v1: Gemma 4 generator, Qwen judge, 14,975 rows, data card (#44, #45)</t>
        </is>
      </c>
      <c r="D42" s="8" t="n"/>
      <c r="E42" s="9" t="n"/>
      <c r="F42" s="73" t="n">
        <v>46293</v>
      </c>
      <c r="G42" s="73" t="n">
        <v>46299</v>
      </c>
      <c r="H42" s="9" t="inlineStr">
        <is>
          <t>Abdulrahman</t>
        </is>
      </c>
      <c r="I42" s="10" t="inlineStr">
        <is>
          <t>Corpus v1, data card</t>
        </is>
      </c>
      <c r="J42" s="11" t="inlineStr">
        <is>
          <t>Done</t>
        </is>
      </c>
      <c r="K42" s="7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14" t="n"/>
    </row>
    <row r="43" s="56">
      <c r="B43" s="72" t="inlineStr">
        <is>
          <t>4. Models</t>
        </is>
      </c>
      <c r="C43" s="8" t="n"/>
      <c r="D43" s="8" t="n"/>
      <c r="E43" s="9" t="n"/>
      <c r="F43" s="73">
        <f>MIN(F44:F51)</f>
        <v/>
      </c>
      <c r="G43" s="73">
        <f>MAX(G44:G51)</f>
        <v/>
      </c>
      <c r="H43" s="9" t="inlineStr">
        <is>
          <t>Ahmed, Sanad, Abdulrahman, Marwan</t>
        </is>
      </c>
      <c r="I43" s="10" t="inlineStr"/>
      <c r="J43" s="11" t="inlineStr">
        <is>
          <t>Done</t>
        </is>
      </c>
      <c r="K43" s="7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14" t="n"/>
    </row>
    <row r="44" s="56">
      <c r="B44" s="7" t="n"/>
      <c r="C44" s="8" t="inlineStr">
        <is>
          <t>4.1. Diacritization benchmark; Libtashkeel selected (#6, #23)</t>
        </is>
      </c>
      <c r="D44" s="8" t="n"/>
      <c r="E44" s="9" t="n"/>
      <c r="F44" s="73" t="n">
        <v>46284</v>
      </c>
      <c r="G44" s="73" t="n">
        <v>46286</v>
      </c>
      <c r="H44" s="9" t="inlineStr">
        <is>
          <t>Sanad</t>
        </is>
      </c>
      <c r="I44" s="10" t="inlineStr">
        <is>
          <t>Benchmark report</t>
        </is>
      </c>
      <c r="J44" s="11" t="inlineStr">
        <is>
          <t>Done</t>
        </is>
      </c>
      <c r="K44" s="7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14" t="n"/>
    </row>
    <row r="45" s="56" thickBot="1">
      <c r="B45" s="7" t="n"/>
      <c r="C45" s="8" t="inlineStr">
        <is>
          <t>4.2. Read-aloud model selection: Nabra-7M-Distill</t>
        </is>
      </c>
      <c r="D45" s="8" t="n"/>
      <c r="E45" s="9" t="n"/>
      <c r="F45" s="73" t="n">
        <v>46286</v>
      </c>
      <c r="G45" s="73" t="n">
        <v>46287</v>
      </c>
      <c r="H45" s="9" t="inlineStr">
        <is>
          <t>Marwan</t>
        </is>
      </c>
      <c r="I45" s="10" t="inlineStr">
        <is>
          <t>Selection</t>
        </is>
      </c>
      <c r="J45" s="11" t="inlineStr">
        <is>
          <t>Done</t>
        </is>
      </c>
      <c r="K45" s="7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14" t="n"/>
    </row>
    <row r="46" s="56">
      <c r="B46" s="7" t="n"/>
      <c r="C46" s="8" t="inlineStr">
        <is>
          <t>4.3. Model 1: AraT5v2 on SAMER, trained and documented (#5, #22)</t>
        </is>
      </c>
      <c r="D46" s="8" t="n"/>
      <c r="E46" s="9" t="n"/>
      <c r="F46" s="73" t="n">
        <v>46284</v>
      </c>
      <c r="G46" s="73" t="n">
        <v>46288</v>
      </c>
      <c r="H46" s="9" t="inlineStr">
        <is>
          <t>Ahmed</t>
        </is>
      </c>
      <c r="I46" s="10" t="inlineStr">
        <is>
          <t>Model 1</t>
        </is>
      </c>
      <c r="J46" s="11" t="inlineStr">
        <is>
          <t>Done</t>
        </is>
      </c>
      <c r="K46" s="7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14" t="n"/>
    </row>
    <row r="47" s="56">
      <c r="B47" s="7" t="n"/>
      <c r="C47" s="8" t="inlineStr">
        <is>
          <t>4.4. Model 1 diagnosis on the locked test sets</t>
        </is>
      </c>
      <c r="D47" s="8" t="n"/>
      <c r="E47" s="9" t="n"/>
      <c r="F47" s="73" t="n">
        <v>46287</v>
      </c>
      <c r="G47" s="73" t="n">
        <v>46288</v>
      </c>
      <c r="H47" s="9" t="inlineStr">
        <is>
          <t>Marwan</t>
        </is>
      </c>
      <c r="I47" s="10" t="inlineStr">
        <is>
          <t>Diagnosis</t>
        </is>
      </c>
      <c r="J47" s="11" t="inlineStr">
        <is>
          <t>Done</t>
        </is>
      </c>
      <c r="K47" s="7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14" t="n"/>
    </row>
    <row r="48" s="56">
      <c r="B48" s="7" t="n"/>
      <c r="C48" s="8" t="inlineStr">
        <is>
          <t>4.5. Model 2 on AraT5v2 (#28, #40)</t>
        </is>
      </c>
      <c r="D48" s="8" t="n"/>
      <c r="E48" s="9" t="n"/>
      <c r="F48" s="73" t="n">
        <v>46289</v>
      </c>
      <c r="G48" s="73" t="n">
        <v>46290</v>
      </c>
      <c r="H48" s="9" t="inlineStr">
        <is>
          <t>Ahmed</t>
        </is>
      </c>
      <c r="I48" s="10" t="inlineStr">
        <is>
          <t>Model 2 (AraT5v2)</t>
        </is>
      </c>
      <c r="J48" s="11" t="inlineStr">
        <is>
          <t>Done</t>
        </is>
      </c>
      <c r="K48" s="7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14" t="n"/>
    </row>
    <row r="49" s="56">
      <c r="B49" s="7" t="n"/>
      <c r="C49" s="8" t="inlineStr">
        <is>
          <t>4.6. Model 2 on AraBART, and the speed benchmark (#29, #35)</t>
        </is>
      </c>
      <c r="D49" s="8" t="n"/>
      <c r="E49" s="9" t="n"/>
      <c r="F49" s="73" t="n">
        <v>46289</v>
      </c>
      <c r="G49" s="73" t="n">
        <v>46290</v>
      </c>
      <c r="H49" s="9" t="inlineStr">
        <is>
          <t>Sanad</t>
        </is>
      </c>
      <c r="I49" s="10" t="inlineStr">
        <is>
          <t>Model 2 (AraBART)</t>
        </is>
      </c>
      <c r="J49" s="11" t="inlineStr">
        <is>
          <t>Done</t>
        </is>
      </c>
      <c r="K49" s="7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14" t="n"/>
    </row>
    <row r="50" s="56">
      <c r="B50" s="7" t="n"/>
      <c r="C50" s="8" t="inlineStr">
        <is>
          <t>4.7. Meaning judge: Gemma 4 E2B, four heads, three variants (#47, #49)</t>
        </is>
      </c>
      <c r="D50" s="8" t="n"/>
      <c r="E50" s="9" t="n"/>
      <c r="F50" s="73" t="n">
        <v>46295</v>
      </c>
      <c r="G50" s="73" t="n">
        <v>46299</v>
      </c>
      <c r="H50" s="9" t="inlineStr">
        <is>
          <t>Abdulrahman</t>
        </is>
      </c>
      <c r="I50" s="10" t="inlineStr">
        <is>
          <t>Meaning judge (Hub)</t>
        </is>
      </c>
      <c r="J50" s="11" t="inlineStr">
        <is>
          <t>Done</t>
        </is>
      </c>
      <c r="K50" s="7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14" t="n"/>
    </row>
    <row r="51" s="56">
      <c r="B51" s="7" t="n"/>
      <c r="C51" s="8" t="inlineStr">
        <is>
          <t>4.8. Model 3: AraT5v2 on corpus v1, int8 bundle (#48, #53)</t>
        </is>
      </c>
      <c r="D51" s="8" t="n"/>
      <c r="E51" s="9" t="n"/>
      <c r="F51" s="73" t="n">
        <v>46297</v>
      </c>
      <c r="G51" s="73" t="n">
        <v>46299</v>
      </c>
      <c r="H51" s="9" t="inlineStr">
        <is>
          <t>Abdulrahman</t>
        </is>
      </c>
      <c r="I51" s="10" t="inlineStr">
        <is>
          <t>Model 3</t>
        </is>
      </c>
      <c r="J51" s="11" t="inlineStr">
        <is>
          <t>Done</t>
        </is>
      </c>
      <c r="K51" s="7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14" t="n"/>
    </row>
    <row r="52" s="56">
      <c r="B52" s="72" t="inlineStr">
        <is>
          <t>5. Evaluation</t>
        </is>
      </c>
      <c r="C52" s="8" t="n"/>
      <c r="D52" s="8" t="n"/>
      <c r="E52" s="9" t="n"/>
      <c r="F52" s="73">
        <f>MIN(F53:F60)</f>
        <v/>
      </c>
      <c r="G52" s="73">
        <f>MAX(G53:G60)</f>
        <v/>
      </c>
      <c r="H52" s="9" t="inlineStr">
        <is>
          <t>Abdul Majid, Marwan</t>
        </is>
      </c>
      <c r="I52" s="10" t="inlineStr"/>
      <c r="J52" s="11" t="inlineStr">
        <is>
          <t>Done</t>
        </is>
      </c>
      <c r="K52" s="7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14" t="n"/>
    </row>
    <row r="53" s="56">
      <c r="B53" s="7" t="n"/>
      <c r="C53" s="8" t="inlineStr">
        <is>
          <t>5.1. Scoring harness and locked test sets (#7, #15, #16, #18)</t>
        </is>
      </c>
      <c r="D53" s="8" t="n"/>
      <c r="E53" s="9" t="n"/>
      <c r="F53" s="73" t="n">
        <v>46284</v>
      </c>
      <c r="G53" s="73" t="n">
        <v>46286</v>
      </c>
      <c r="H53" s="9" t="inlineStr">
        <is>
          <t>Abdul Majid, Marwan</t>
        </is>
      </c>
      <c r="I53" s="10" t="inlineStr">
        <is>
          <t>Scripts, manifest</t>
        </is>
      </c>
      <c r="J53" s="11" t="inlineStr">
        <is>
          <t>Done</t>
        </is>
      </c>
      <c r="K53" s="7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14" t="n"/>
    </row>
    <row r="54" s="56">
      <c r="B54" s="7" t="n"/>
      <c r="C54" s="8" t="inlineStr">
        <is>
          <t>5.2. Copy baselines, locked-set converter, generate-and-score path (#19, #24, #26)</t>
        </is>
      </c>
      <c r="D54" s="8" t="n"/>
      <c r="E54" s="9" t="n"/>
      <c r="F54" s="73" t="n">
        <v>46286</v>
      </c>
      <c r="G54" s="73" t="n">
        <v>46287</v>
      </c>
      <c r="H54" s="9" t="inlineStr">
        <is>
          <t>Abdul Majid</t>
        </is>
      </c>
      <c r="I54" s="10" t="inlineStr">
        <is>
          <t>Baselines</t>
        </is>
      </c>
      <c r="J54" s="11" t="inlineStr">
        <is>
          <t>Done</t>
        </is>
      </c>
      <c r="K54" s="7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14" t="n"/>
    </row>
    <row r="55" s="56">
      <c r="B55" s="7" t="n"/>
      <c r="C55" s="8" t="inlineStr">
        <is>
          <t>5.3. Model-2 scoring tools (#33, #34)</t>
        </is>
      </c>
      <c r="D55" s="8" t="n"/>
      <c r="E55" s="9" t="n"/>
      <c r="F55" s="73" t="n">
        <v>46289</v>
      </c>
      <c r="G55" s="73" t="n">
        <v>46289</v>
      </c>
      <c r="H55" s="9" t="inlineStr">
        <is>
          <t>Marwan</t>
        </is>
      </c>
      <c r="I55" s="10" t="inlineStr">
        <is>
          <t>Scoring tools</t>
        </is>
      </c>
      <c r="J55" s="11" t="inlineStr">
        <is>
          <t>Done</t>
        </is>
      </c>
      <c r="K55" s="7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14" t="n"/>
    </row>
    <row r="56" s="56">
      <c r="B56" s="7" t="n"/>
      <c r="C56" s="8" t="inlineStr">
        <is>
          <t>5.4. BayanBench v1: behaviour tracks, document split; model 2 scored on test</t>
        </is>
      </c>
      <c r="D56" s="8" t="n"/>
      <c r="E56" s="9" t="n"/>
      <c r="F56" s="73" t="n">
        <v>46291</v>
      </c>
      <c r="G56" s="73" t="n">
        <v>46293</v>
      </c>
      <c r="H56" s="9" t="inlineStr">
        <is>
          <t>Marwan</t>
        </is>
      </c>
      <c r="I56" s="10" t="inlineStr">
        <is>
          <t>BayanBench v1</t>
        </is>
      </c>
      <c r="J56" s="11" t="inlineStr">
        <is>
          <t>Done</t>
        </is>
      </c>
      <c r="K56" s="7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14" t="n"/>
    </row>
    <row r="57" s="56">
      <c r="B57" s="7" t="n"/>
      <c r="C57" s="8" t="inlineStr">
        <is>
          <t>5.5. BayanBench v2: open meaning scorer (Gemma 4 31B); all systems scored (#48)</t>
        </is>
      </c>
      <c r="D57" s="8" t="n"/>
      <c r="E57" s="9" t="n"/>
      <c r="F57" s="73" t="n">
        <v>46294</v>
      </c>
      <c r="G57" s="73" t="n">
        <v>46295</v>
      </c>
      <c r="H57" s="9" t="inlineStr">
        <is>
          <t>Marwan, Abdulrahman</t>
        </is>
      </c>
      <c r="I57" s="10" t="inlineStr">
        <is>
          <t>BayanBench v2</t>
        </is>
      </c>
      <c r="J57" s="11" t="inlineStr">
        <is>
          <t>Done</t>
        </is>
      </c>
      <c r="K57" s="7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14" t="n"/>
    </row>
    <row r="58" s="56">
      <c r="B58" s="7" t="n"/>
      <c r="C58" s="8" t="inlineStr">
        <is>
          <t>5.6. Human rating round: 290 tasks, five raters and a reader with dyslexia (#48)</t>
        </is>
      </c>
      <c r="D58" s="8" t="n"/>
      <c r="E58" s="9" t="n"/>
      <c r="F58" s="73" t="n">
        <v>46295</v>
      </c>
      <c r="G58" s="73" t="n">
        <v>46298</v>
      </c>
      <c r="H58" s="9" t="inlineStr">
        <is>
          <t>Marwan, Sanad, Ahmed, Mohammed</t>
        </is>
      </c>
      <c r="I58" s="10" t="inlineStr">
        <is>
          <t>Ratings, scorer check</t>
        </is>
      </c>
      <c r="J58" s="11" t="inlineStr">
        <is>
          <t>Done</t>
        </is>
      </c>
      <c r="K58" s="7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14" t="n"/>
    </row>
    <row r="59" s="56">
      <c r="B59" s="7" t="n"/>
      <c r="C59" s="8" t="inlineStr">
        <is>
          <t>5.7. BayanBench v2.0 frozen; test split scored (#55)</t>
        </is>
      </c>
      <c r="D59" s="8" t="n"/>
      <c r="E59" s="9" t="n"/>
      <c r="F59" s="73" t="n">
        <v>46298</v>
      </c>
      <c r="G59" s="73" t="n">
        <v>46299</v>
      </c>
      <c r="H59" s="9" t="inlineStr">
        <is>
          <t>Marwan, Abdulrahman</t>
        </is>
      </c>
      <c r="I59" s="10" t="inlineStr">
        <is>
          <t>BayanBench v2.0</t>
        </is>
      </c>
      <c r="J59" s="11" t="inlineStr">
        <is>
          <t>Done</t>
        </is>
      </c>
      <c r="K59" s="7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14" t="n"/>
    </row>
    <row r="60" s="56">
      <c r="B60" s="7" t="n"/>
      <c r="C60" s="8" t="inlineStr">
        <is>
          <t>5.8. Model 3 ship gate and decision: an option next to model 2 (#56, #59)</t>
        </is>
      </c>
      <c r="D60" s="8" t="n"/>
      <c r="E60" s="9" t="n"/>
      <c r="F60" s="73" t="n">
        <v>46299</v>
      </c>
      <c r="G60" s="73" t="n">
        <v>46299</v>
      </c>
      <c r="H60" s="9" t="inlineStr">
        <is>
          <t>Marwan, Abdulrahman</t>
        </is>
      </c>
      <c r="I60" s="10" t="inlineStr">
        <is>
          <t>Decision</t>
        </is>
      </c>
      <c r="J60" s="11" t="inlineStr">
        <is>
          <t>Done</t>
        </is>
      </c>
      <c r="K60" s="7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14" t="n"/>
    </row>
    <row r="61" s="56">
      <c r="B61" s="72" t="inlineStr">
        <is>
          <t>6. Application</t>
        </is>
      </c>
      <c r="C61" s="8" t="n"/>
      <c r="D61" s="8" t="n"/>
      <c r="E61" s="9" t="n"/>
      <c r="F61" s="73">
        <f>MIN(F62:F67)</f>
        <v/>
      </c>
      <c r="G61" s="73">
        <f>MAX(G62:G67)</f>
        <v/>
      </c>
      <c r="H61" s="9" t="inlineStr">
        <is>
          <t>Mohammed, Marwan</t>
        </is>
      </c>
      <c r="I61" s="10" t="inlineStr"/>
      <c r="J61" s="11" t="inlineStr">
        <is>
          <t>Done</t>
        </is>
      </c>
      <c r="K61" s="7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14" t="n"/>
    </row>
    <row r="62" s="56">
      <c r="B62" s="7" t="n"/>
      <c r="C62" s="8" t="inlineStr">
        <is>
          <t>6.1. PROCESS_TEXT plugin and result sheet (#14, #21)</t>
        </is>
      </c>
      <c r="D62" s="8" t="n"/>
      <c r="E62" s="9" t="n"/>
      <c r="F62" s="73" t="n">
        <v>46285</v>
      </c>
      <c r="G62" s="73" t="n">
        <v>46286</v>
      </c>
      <c r="H62" s="9" t="inlineStr">
        <is>
          <t>Mohammed</t>
        </is>
      </c>
      <c r="I62" s="10" t="inlineStr">
        <is>
          <t>Android plugin</t>
        </is>
      </c>
      <c r="J62" s="11" t="inlineStr">
        <is>
          <t>Done</t>
        </is>
      </c>
      <c r="K62" s="7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14" t="n"/>
    </row>
    <row r="63" s="56">
      <c r="B63" s="7" t="n"/>
      <c r="C63" s="8" t="inlineStr">
        <is>
          <t>6.2. Model download, result states, settings, typography (#31, #37)</t>
        </is>
      </c>
      <c r="D63" s="8" t="n"/>
      <c r="E63" s="9" t="n"/>
      <c r="F63" s="73" t="n">
        <v>46289</v>
      </c>
      <c r="G63" s="73" t="n">
        <v>46295</v>
      </c>
      <c r="H63" s="9" t="inlineStr">
        <is>
          <t>Mohammed</t>
        </is>
      </c>
      <c r="I63" s="10" t="inlineStr">
        <is>
          <t>App features</t>
        </is>
      </c>
      <c r="J63" s="11" t="inlineStr">
        <is>
          <t>Done</t>
        </is>
      </c>
      <c r="K63" s="7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14" t="n"/>
    </row>
    <row r="64" s="56">
      <c r="B64" s="7" t="n"/>
      <c r="C64" s="8" t="inlineStr">
        <is>
          <t>6.3. Compose app with Material 3 Expressive (#37)</t>
        </is>
      </c>
      <c r="D64" s="8" t="n"/>
      <c r="E64" s="9" t="n"/>
      <c r="F64" s="73" t="n">
        <v>46291</v>
      </c>
      <c r="G64" s="73" t="n">
        <v>46295</v>
      </c>
      <c r="H64" s="9" t="inlineStr">
        <is>
          <t>Marwan</t>
        </is>
      </c>
      <c r="I64" s="10" t="inlineStr">
        <is>
          <t>App</t>
        </is>
      </c>
      <c r="J64" s="11" t="inlineStr">
        <is>
          <t>Done</t>
        </is>
      </c>
      <c r="K64" s="7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14" t="n"/>
    </row>
    <row r="65" s="56">
      <c r="B65" s="7" t="n"/>
      <c r="C65" s="8" t="inlineStr">
        <is>
          <t>6.4. Read-aloud with word highlighting (Nabra through sherpa-onnx)</t>
        </is>
      </c>
      <c r="D65" s="8" t="n"/>
      <c r="E65" s="9" t="n"/>
      <c r="F65" s="73" t="n">
        <v>46292</v>
      </c>
      <c r="G65" s="73" t="n">
        <v>46295</v>
      </c>
      <c r="H65" s="9" t="inlineStr">
        <is>
          <t>Marwan</t>
        </is>
      </c>
      <c r="I65" s="10" t="inlineStr">
        <is>
          <t>Read-aloud</t>
        </is>
      </c>
      <c r="J65" s="11" t="inlineStr">
        <is>
          <t>Done</t>
        </is>
      </c>
      <c r="K65" s="7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14" t="n"/>
    </row>
    <row r="66" s="56">
      <c r="B66" s="7" t="n"/>
      <c r="C66" s="8" t="inlineStr">
        <is>
          <t>6.5. Overlay, floating reader, text-step guards, Bayan design system (#54)</t>
        </is>
      </c>
      <c r="D66" s="8" t="n"/>
      <c r="E66" s="9" t="n"/>
      <c r="F66" s="73" t="n">
        <v>46296</v>
      </c>
      <c r="G66" s="73" t="n">
        <v>46299</v>
      </c>
      <c r="H66" s="9" t="inlineStr">
        <is>
          <t>Marwan</t>
        </is>
      </c>
      <c r="I66" s="10" t="inlineStr">
        <is>
          <t>App release</t>
        </is>
      </c>
      <c r="J66" s="11" t="inlineStr">
        <is>
          <t>Done</t>
        </is>
      </c>
      <c r="K66" s="7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14" t="n"/>
    </row>
    <row r="67" s="56">
      <c r="B67" s="7" t="n"/>
      <c r="C67" s="8" t="inlineStr">
        <is>
          <t>6.6. Beam search as a per-model decoding option (#61, #62)</t>
        </is>
      </c>
      <c r="D67" s="8" t="n"/>
      <c r="E67" s="9" t="n"/>
      <c r="F67" s="73" t="n">
        <v>46299</v>
      </c>
      <c r="G67" s="73" t="n">
        <v>46299</v>
      </c>
      <c r="H67" s="9" t="inlineStr">
        <is>
          <t>Marwan</t>
        </is>
      </c>
      <c r="I67" s="10" t="inlineStr">
        <is>
          <t>Decoder</t>
        </is>
      </c>
      <c r="J67" s="11" t="inlineStr">
        <is>
          <t>Done</t>
        </is>
      </c>
      <c r="K67" s="7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14" t="n"/>
    </row>
    <row r="68" s="56">
      <c r="B68" s="72" t="inlineStr">
        <is>
          <t>7. On-device model</t>
        </is>
      </c>
      <c r="C68" s="8" t="n"/>
      <c r="D68" s="8" t="n"/>
      <c r="E68" s="9" t="n"/>
      <c r="F68" s="73">
        <f>MIN(F69:F70)</f>
        <v/>
      </c>
      <c r="G68" s="73">
        <f>MAX(G69:G70)</f>
        <v/>
      </c>
      <c r="H68" s="9" t="inlineStr">
        <is>
          <t>Marwan</t>
        </is>
      </c>
      <c r="I68" s="10" t="inlineStr"/>
      <c r="J68" s="11" t="inlineStr">
        <is>
          <t>Done</t>
        </is>
      </c>
      <c r="K68" s="7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14" t="n"/>
    </row>
    <row r="69" s="56">
      <c r="B69" s="7" t="n"/>
      <c r="C69" s="8" t="inlineStr">
        <is>
          <t>7.1. ONNX export, int8 quantization, on-device engine (#32)</t>
        </is>
      </c>
      <c r="D69" s="8" t="n"/>
      <c r="E69" s="9" t="n"/>
      <c r="F69" s="73" t="n">
        <v>46289</v>
      </c>
      <c r="G69" s="73" t="n">
        <v>46291</v>
      </c>
      <c r="H69" s="9" t="inlineStr">
        <is>
          <t>Marwan</t>
        </is>
      </c>
      <c r="I69" s="10" t="inlineStr">
        <is>
          <t>Model bundles</t>
        </is>
      </c>
      <c r="J69" s="11" t="inlineStr">
        <is>
          <t>Done</t>
        </is>
      </c>
      <c r="K69" s="7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14" t="n"/>
    </row>
    <row r="70" s="56">
      <c r="B70" s="7" t="n"/>
      <c r="C70" s="8" t="inlineStr">
        <is>
          <t>7.2. Phone latency: AraT5v2 (26 Sep), AraBART (3 Oct), beam search (4 Oct)</t>
        </is>
      </c>
      <c r="D70" s="8" t="n"/>
      <c r="E70" s="9" t="n"/>
      <c r="F70" s="73" t="n">
        <v>46291</v>
      </c>
      <c r="G70" s="73" t="n">
        <v>46299</v>
      </c>
      <c r="H70" s="9" t="inlineStr">
        <is>
          <t>Marwan</t>
        </is>
      </c>
      <c r="I70" s="10" t="inlineStr">
        <is>
          <t>Measurements</t>
        </is>
      </c>
      <c r="J70" s="11" t="inlineStr">
        <is>
          <t>Done</t>
        </is>
      </c>
      <c r="K70" s="7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14" t="n"/>
    </row>
    <row r="71" s="56">
      <c r="B71" s="72" t="inlineStr">
        <is>
          <t>8. Final deliverables</t>
        </is>
      </c>
      <c r="C71" s="8" t="n"/>
      <c r="D71" s="8" t="n"/>
      <c r="E71" s="9" t="n"/>
      <c r="F71" s="73">
        <f>MIN(F72:F76)</f>
        <v/>
      </c>
      <c r="G71" s="73">
        <f>MAX(G72:G76)</f>
        <v/>
      </c>
      <c r="H71" s="9" t="inlineStr">
        <is>
          <t>Marwan, Abdulrahman</t>
        </is>
      </c>
      <c r="I71" s="10" t="inlineStr"/>
      <c r="J71" s="11" t="inlineStr">
        <is>
          <t>In-progress</t>
        </is>
      </c>
      <c r="K71" s="7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14" t="n"/>
    </row>
    <row r="72" s="56">
      <c r="B72" s="7" t="n"/>
      <c r="C72" s="8" t="inlineStr">
        <is>
          <t>8.1. Final report (#52)</t>
        </is>
      </c>
      <c r="D72" s="8" t="n"/>
      <c r="E72" s="9" t="n"/>
      <c r="F72" s="73" t="n">
        <v>46294</v>
      </c>
      <c r="G72" s="73" t="n">
        <v>46300</v>
      </c>
      <c r="H72" s="9" t="inlineStr">
        <is>
          <t>Marwan, Abdulrahman</t>
        </is>
      </c>
      <c r="I72" s="10" t="inlineStr">
        <is>
          <t>Final report</t>
        </is>
      </c>
      <c r="J72" s="11" t="inlineStr">
        <is>
          <t>In-progress</t>
        </is>
      </c>
      <c r="K72" s="7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14" t="n"/>
    </row>
    <row r="73" s="56">
      <c r="B73" s="7" t="n"/>
      <c r="C73" s="8" t="inlineStr">
        <is>
          <t>8.2. Presentation deck (#50)</t>
        </is>
      </c>
      <c r="D73" s="8" t="n"/>
      <c r="E73" s="9" t="n"/>
      <c r="F73" s="73" t="n">
        <v>46297</v>
      </c>
      <c r="G73" s="73" t="n">
        <v>46300</v>
      </c>
      <c r="H73" s="9" t="inlineStr">
        <is>
          <t>Abdulrahman</t>
        </is>
      </c>
      <c r="I73" s="10" t="inlineStr">
        <is>
          <t>Slide deck</t>
        </is>
      </c>
      <c r="J73" s="11" t="inlineStr">
        <is>
          <t>In-progress</t>
        </is>
      </c>
      <c r="K73" s="7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14" t="n"/>
    </row>
    <row r="74" s="56">
      <c r="B74" s="7" t="n"/>
      <c r="C74" s="8" t="inlineStr">
        <is>
          <t>8.3. Coding reference: repository and README (#60)</t>
        </is>
      </c>
      <c r="D74" s="8" t="n"/>
      <c r="E74" s="9" t="n"/>
      <c r="F74" s="73" t="n">
        <v>46299</v>
      </c>
      <c r="G74" s="73" t="n">
        <v>46300</v>
      </c>
      <c r="H74" s="9" t="inlineStr">
        <is>
          <t>Marwan</t>
        </is>
      </c>
      <c r="I74" s="10" t="inlineStr">
        <is>
          <t>Repository</t>
        </is>
      </c>
      <c r="J74" s="11" t="inlineStr">
        <is>
          <t>In-progress</t>
        </is>
      </c>
      <c r="K74" s="7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14" t="n"/>
    </row>
    <row r="75" s="56">
      <c r="B75" s="7" t="n"/>
      <c r="C75" s="8" t="inlineStr">
        <is>
          <t>8.4. Demo video</t>
        </is>
      </c>
      <c r="D75" s="8" t="n"/>
      <c r="E75" s="9" t="n"/>
      <c r="F75" s="73" t="n"/>
      <c r="G75" s="73" t="n"/>
      <c r="H75" s="9" t="inlineStr">
        <is>
          <t>Marwan</t>
        </is>
      </c>
      <c r="I75" s="10" t="inlineStr">
        <is>
          <t>Demo video</t>
        </is>
      </c>
      <c r="J75" s="11" t="n"/>
      <c r="K75" s="7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14" t="n"/>
    </row>
    <row r="76" s="56">
      <c r="B76" s="7" t="n"/>
      <c r="C76" s="8" t="inlineStr">
        <is>
          <t>8.5. Final pitch (Tue 6 Oct)</t>
        </is>
      </c>
      <c r="D76" s="8" t="n"/>
      <c r="E76" s="9" t="n"/>
      <c r="F76" s="73" t="n"/>
      <c r="G76" s="73" t="n"/>
      <c r="H76" s="9" t="inlineStr">
        <is>
          <t>Marwan, Abdulrahman</t>
        </is>
      </c>
      <c r="I76" s="10" t="inlineStr">
        <is>
          <t>Pitch</t>
        </is>
      </c>
      <c r="J76" s="11" t="n"/>
      <c r="K76" s="7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14" t="n"/>
    </row>
  </sheetData>
  <mergeCells count="10">
    <mergeCell ref="K11:O11"/>
    <mergeCell ref="G11:G13"/>
    <mergeCell ref="Z11:AD11"/>
    <mergeCell ref="H11:H13"/>
    <mergeCell ref="U11:Y11"/>
    <mergeCell ref="I11:I13"/>
    <mergeCell ref="P11:T11"/>
    <mergeCell ref="J11:J13"/>
    <mergeCell ref="F11:F13"/>
    <mergeCell ref="B11:E13"/>
  </mergeCells>
  <conditionalFormatting sqref="K14:AD14">
    <cfRule type="expression" priority="1" dxfId="0">
      <formula>AND(K$13&gt;=$F14,K$13&lt;=$G14)</formula>
    </cfRule>
  </conditionalFormatting>
  <conditionalFormatting sqref="K15:AD15">
    <cfRule type="expression" priority="2" dxfId="1">
      <formula>AND(K$13&gt;=$F15,K$13&lt;=$G15)</formula>
    </cfRule>
  </conditionalFormatting>
  <conditionalFormatting sqref="K16:AD16">
    <cfRule type="expression" priority="3" dxfId="1">
      <formula>AND(K$13&gt;=$F16,K$13&lt;=$G16)</formula>
    </cfRule>
  </conditionalFormatting>
  <conditionalFormatting sqref="K17:AD17">
    <cfRule type="expression" priority="4" dxfId="1">
      <formula>AND(K$13&gt;=$F17,K$13&lt;=$G17)</formula>
    </cfRule>
  </conditionalFormatting>
  <conditionalFormatting sqref="K18:AD18">
    <cfRule type="expression" priority="5" dxfId="1">
      <formula>AND(K$13&gt;=$F18,K$13&lt;=$G18)</formula>
    </cfRule>
  </conditionalFormatting>
  <conditionalFormatting sqref="K19:AD19">
    <cfRule type="expression" priority="6" dxfId="1">
      <formula>AND(K$13&gt;=$F19,K$13&lt;=$G19)</formula>
    </cfRule>
  </conditionalFormatting>
  <conditionalFormatting sqref="K20:AD20">
    <cfRule type="expression" priority="7" dxfId="0">
      <formula>AND(K$13&gt;=$F20,K$13&lt;=$G20)</formula>
    </cfRule>
  </conditionalFormatting>
  <conditionalFormatting sqref="K21:AD21">
    <cfRule type="expression" priority="8" dxfId="1">
      <formula>AND(K$13&gt;=$F21,K$13&lt;=$G21)</formula>
    </cfRule>
  </conditionalFormatting>
  <conditionalFormatting sqref="K22:AD22">
    <cfRule type="expression" priority="9" dxfId="1">
      <formula>AND(K$13&gt;=$F22,K$13&lt;=$G22)</formula>
    </cfRule>
  </conditionalFormatting>
  <conditionalFormatting sqref="K23:AD23">
    <cfRule type="expression" priority="10" dxfId="1">
      <formula>AND(K$13&gt;=$F23,K$13&lt;=$G23)</formula>
    </cfRule>
  </conditionalFormatting>
  <conditionalFormatting sqref="K24:AD24">
    <cfRule type="expression" priority="11" dxfId="1">
      <formula>AND(K$13&gt;=$F24,K$13&lt;=$G24)</formula>
    </cfRule>
  </conditionalFormatting>
  <conditionalFormatting sqref="K25:AD25">
    <cfRule type="expression" priority="12" dxfId="1">
      <formula>AND(K$13&gt;=$F25,K$13&lt;=$G25)</formula>
    </cfRule>
  </conditionalFormatting>
  <conditionalFormatting sqref="K26:AD26">
    <cfRule type="expression" priority="13" dxfId="0">
      <formula>AND(K$13&gt;=$F26,K$13&lt;=$G26)</formula>
    </cfRule>
  </conditionalFormatting>
  <conditionalFormatting sqref="K27:AD27">
    <cfRule type="expression" priority="14" dxfId="1">
      <formula>AND(K$13&gt;=$F27,K$13&lt;=$G27)</formula>
    </cfRule>
  </conditionalFormatting>
  <conditionalFormatting sqref="K28:AD28">
    <cfRule type="expression" priority="15" dxfId="1">
      <formula>AND(K$13&gt;=$F28,K$13&lt;=$G28)</formula>
    </cfRule>
  </conditionalFormatting>
  <conditionalFormatting sqref="K29:AD29">
    <cfRule type="expression" priority="16" dxfId="1">
      <formula>AND(K$13&gt;=$F29,K$13&lt;=$G29)</formula>
    </cfRule>
  </conditionalFormatting>
  <conditionalFormatting sqref="K30:AD30">
    <cfRule type="expression" priority="17" dxfId="1">
      <formula>AND(K$13&gt;=$F30,K$13&lt;=$G30)</formula>
    </cfRule>
  </conditionalFormatting>
  <conditionalFormatting sqref="K31:AD31">
    <cfRule type="expression" priority="18" dxfId="1">
      <formula>AND(K$13&gt;=$F31,K$13&lt;=$G31)</formula>
    </cfRule>
  </conditionalFormatting>
  <conditionalFormatting sqref="K32:AD32">
    <cfRule type="expression" priority="19" dxfId="1">
      <formula>AND(K$13&gt;=$F32,K$13&lt;=$G32)</formula>
    </cfRule>
  </conditionalFormatting>
  <conditionalFormatting sqref="K33:AD33">
    <cfRule type="expression" priority="20" dxfId="1">
      <formula>AND(K$13&gt;=$F33,K$13&lt;=$G33)</formula>
    </cfRule>
  </conditionalFormatting>
  <conditionalFormatting sqref="K34:AD34">
    <cfRule type="expression" priority="21" dxfId="1">
      <formula>AND(K$13&gt;=$F34,K$13&lt;=$G34)</formula>
    </cfRule>
  </conditionalFormatting>
  <conditionalFormatting sqref="K35:AD35">
    <cfRule type="expression" priority="22" dxfId="1">
      <formula>AND(K$13&gt;=$F35,K$13&lt;=$G35)</formula>
    </cfRule>
  </conditionalFormatting>
  <conditionalFormatting sqref="K36:AD36">
    <cfRule type="expression" priority="23" dxfId="1">
      <formula>AND(K$13&gt;=$F36,K$13&lt;=$G36)</formula>
    </cfRule>
  </conditionalFormatting>
  <conditionalFormatting sqref="K37:AD37">
    <cfRule type="expression" priority="24" dxfId="1">
      <formula>AND(K$13&gt;=$F37,K$13&lt;=$G37)</formula>
    </cfRule>
  </conditionalFormatting>
  <conditionalFormatting sqref="K38:AD38">
    <cfRule type="expression" priority="25" dxfId="1">
      <formula>AND(K$13&gt;=$F38,K$13&lt;=$G38)</formula>
    </cfRule>
  </conditionalFormatting>
  <conditionalFormatting sqref="K39:AD39">
    <cfRule type="expression" priority="26" dxfId="1">
      <formula>AND(K$13&gt;=$F39,K$13&lt;=$G39)</formula>
    </cfRule>
  </conditionalFormatting>
  <conditionalFormatting sqref="K40:AD40">
    <cfRule type="expression" priority="27" dxfId="1">
      <formula>AND(K$13&gt;=$F40,K$13&lt;=$G40)</formula>
    </cfRule>
  </conditionalFormatting>
  <conditionalFormatting sqref="K41:AD41">
    <cfRule type="expression" priority="28" dxfId="1">
      <formula>AND(K$13&gt;=$F41,K$13&lt;=$G41)</formula>
    </cfRule>
  </conditionalFormatting>
  <conditionalFormatting sqref="K42:AD42">
    <cfRule type="expression" priority="29" dxfId="1">
      <formula>AND(K$13&gt;=$F42,K$13&lt;=$G42)</formula>
    </cfRule>
  </conditionalFormatting>
  <conditionalFormatting sqref="K43:AD43">
    <cfRule type="expression" priority="30" dxfId="0">
      <formula>AND(K$13&gt;=$F43,K$13&lt;=$G43)</formula>
    </cfRule>
  </conditionalFormatting>
  <conditionalFormatting sqref="K44:AD44">
    <cfRule type="expression" priority="31" dxfId="1">
      <formula>AND(K$13&gt;=$F44,K$13&lt;=$G44)</formula>
    </cfRule>
  </conditionalFormatting>
  <conditionalFormatting sqref="K45:AD45">
    <cfRule type="expression" priority="32" dxfId="1">
      <formula>AND(K$13&gt;=$F45,K$13&lt;=$G45)</formula>
    </cfRule>
  </conditionalFormatting>
  <conditionalFormatting sqref="K46:AD46">
    <cfRule type="expression" priority="33" dxfId="1">
      <formula>AND(K$13&gt;=$F46,K$13&lt;=$G46)</formula>
    </cfRule>
  </conditionalFormatting>
  <conditionalFormatting sqref="K47:AD47">
    <cfRule type="expression" priority="34" dxfId="1">
      <formula>AND(K$13&gt;=$F47,K$13&lt;=$G47)</formula>
    </cfRule>
  </conditionalFormatting>
  <conditionalFormatting sqref="K48:AD48">
    <cfRule type="expression" priority="35" dxfId="1">
      <formula>AND(K$13&gt;=$F48,K$13&lt;=$G48)</formula>
    </cfRule>
  </conditionalFormatting>
  <conditionalFormatting sqref="K49:AD49">
    <cfRule type="expression" priority="36" dxfId="1">
      <formula>AND(K$13&gt;=$F49,K$13&lt;=$G49)</formula>
    </cfRule>
  </conditionalFormatting>
  <conditionalFormatting sqref="K50:AD50">
    <cfRule type="expression" priority="37" dxfId="1">
      <formula>AND(K$13&gt;=$F50,K$13&lt;=$G50)</formula>
    </cfRule>
  </conditionalFormatting>
  <conditionalFormatting sqref="K51:AD51">
    <cfRule type="expression" priority="38" dxfId="1">
      <formula>AND(K$13&gt;=$F51,K$13&lt;=$G51)</formula>
    </cfRule>
  </conditionalFormatting>
  <conditionalFormatting sqref="K52:AD52">
    <cfRule type="expression" priority="39" dxfId="0">
      <formula>AND(K$13&gt;=$F52,K$13&lt;=$G52)</formula>
    </cfRule>
  </conditionalFormatting>
  <conditionalFormatting sqref="K53:AD53">
    <cfRule type="expression" priority="40" dxfId="1">
      <formula>AND(K$13&gt;=$F53,K$13&lt;=$G53)</formula>
    </cfRule>
  </conditionalFormatting>
  <conditionalFormatting sqref="K54:AD54">
    <cfRule type="expression" priority="41" dxfId="1">
      <formula>AND(K$13&gt;=$F54,K$13&lt;=$G54)</formula>
    </cfRule>
  </conditionalFormatting>
  <conditionalFormatting sqref="K55:AD55">
    <cfRule type="expression" priority="42" dxfId="1">
      <formula>AND(K$13&gt;=$F55,K$13&lt;=$G55)</formula>
    </cfRule>
  </conditionalFormatting>
  <conditionalFormatting sqref="K56:AD56">
    <cfRule type="expression" priority="43" dxfId="1">
      <formula>AND(K$13&gt;=$F56,K$13&lt;=$G56)</formula>
    </cfRule>
  </conditionalFormatting>
  <conditionalFormatting sqref="K57:AD57">
    <cfRule type="expression" priority="44" dxfId="1">
      <formula>AND(K$13&gt;=$F57,K$13&lt;=$G57)</formula>
    </cfRule>
  </conditionalFormatting>
  <conditionalFormatting sqref="K58:AD58">
    <cfRule type="expression" priority="45" dxfId="1">
      <formula>AND(K$13&gt;=$F58,K$13&lt;=$G58)</formula>
    </cfRule>
  </conditionalFormatting>
  <conditionalFormatting sqref="K59:AD59">
    <cfRule type="expression" priority="46" dxfId="1">
      <formula>AND(K$13&gt;=$F59,K$13&lt;=$G59)</formula>
    </cfRule>
  </conditionalFormatting>
  <conditionalFormatting sqref="K60:AD60">
    <cfRule type="expression" priority="47" dxfId="1">
      <formula>AND(K$13&gt;=$F60,K$13&lt;=$G60)</formula>
    </cfRule>
  </conditionalFormatting>
  <conditionalFormatting sqref="K61:AD61">
    <cfRule type="expression" priority="48" dxfId="0">
      <formula>AND(K$13&gt;=$F61,K$13&lt;=$G61)</formula>
    </cfRule>
  </conditionalFormatting>
  <conditionalFormatting sqref="K62:AD62">
    <cfRule type="expression" priority="49" dxfId="1">
      <formula>AND(K$13&gt;=$F62,K$13&lt;=$G62)</formula>
    </cfRule>
  </conditionalFormatting>
  <conditionalFormatting sqref="K63:AD63">
    <cfRule type="expression" priority="50" dxfId="1">
      <formula>AND(K$13&gt;=$F63,K$13&lt;=$G63)</formula>
    </cfRule>
  </conditionalFormatting>
  <conditionalFormatting sqref="K64:AD64">
    <cfRule type="expression" priority="51" dxfId="1">
      <formula>AND(K$13&gt;=$F64,K$13&lt;=$G64)</formula>
    </cfRule>
  </conditionalFormatting>
  <conditionalFormatting sqref="K65:AD65">
    <cfRule type="expression" priority="52" dxfId="1">
      <formula>AND(K$13&gt;=$F65,K$13&lt;=$G65)</formula>
    </cfRule>
  </conditionalFormatting>
  <conditionalFormatting sqref="K66:AD66">
    <cfRule type="expression" priority="53" dxfId="1">
      <formula>AND(K$13&gt;=$F66,K$13&lt;=$G66)</formula>
    </cfRule>
  </conditionalFormatting>
  <conditionalFormatting sqref="K67:AD67">
    <cfRule type="expression" priority="54" dxfId="1">
      <formula>AND(K$13&gt;=$F67,K$13&lt;=$G67)</formula>
    </cfRule>
  </conditionalFormatting>
  <conditionalFormatting sqref="K68:AD68">
    <cfRule type="expression" priority="55" dxfId="0">
      <formula>AND(K$13&gt;=$F68,K$13&lt;=$G68)</formula>
    </cfRule>
  </conditionalFormatting>
  <conditionalFormatting sqref="K69:AD69">
    <cfRule type="expression" priority="56" dxfId="1">
      <formula>AND(K$13&gt;=$F69,K$13&lt;=$G69)</formula>
    </cfRule>
  </conditionalFormatting>
  <conditionalFormatting sqref="K70:AD70">
    <cfRule type="expression" priority="57" dxfId="1">
      <formula>AND(K$13&gt;=$F70,K$13&lt;=$G70)</formula>
    </cfRule>
  </conditionalFormatting>
  <conditionalFormatting sqref="K71:AD71">
    <cfRule type="expression" priority="58" dxfId="0">
      <formula>AND(K$13&gt;=$F71,K$13&lt;=$G71)</formula>
    </cfRule>
  </conditionalFormatting>
  <conditionalFormatting sqref="K72:AD72">
    <cfRule type="expression" priority="59" dxfId="1">
      <formula>AND(K$13&gt;=$F72,K$13&lt;=$G72)</formula>
    </cfRule>
  </conditionalFormatting>
  <conditionalFormatting sqref="K73:AD73">
    <cfRule type="expression" priority="60" dxfId="1">
      <formula>AND(K$13&gt;=$F73,K$13&lt;=$G73)</formula>
    </cfRule>
  </conditionalFormatting>
  <conditionalFormatting sqref="K74:AD74">
    <cfRule type="expression" priority="61" dxfId="1">
      <formula>AND(K$13&gt;=$F74,K$13&lt;=$G74)</formula>
    </cfRule>
  </conditionalFormatting>
  <conditionalFormatting sqref="K75:AD75">
    <cfRule type="expression" priority="62" dxfId="1">
      <formula>AND(K$13&gt;=$F75,K$13&lt;=$G75)</formula>
    </cfRule>
  </conditionalFormatting>
  <conditionalFormatting sqref="K76:AD76">
    <cfRule type="expression" priority="63" dxfId="1">
      <formula>AND(K$13&gt;=$F76,K$13&lt;=$G76)</formula>
    </cfRule>
  </conditionalFormatting>
  <dataValidations count="1">
    <dataValidation sqref="J14:J76" showDropDown="0" showInputMessage="1" showErrorMessage="1" allowBlank="1" type="list">
      <formula1>$J$3:$J$5</formula1>
    </dataValidation>
  </dataValidations>
  <pageMargins left="0.25" right="0.25" top="0.75" bottom="0.75" header="0.3" footer="0.3"/>
  <pageSetup orientation="landscape" paperSize="9" scale="60" fitToHeight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Joonwon LEE</dc:creator>
  <dcterms:created xmlns:dcterms="http://purl.org/dc/terms/" xmlns:xsi="http://www.w3.org/2001/XMLSchema-instance" xsi:type="dcterms:W3CDTF">2019-08-06T06:11:52Z</dcterms:created>
  <dcterms:modified xmlns:dcterms="http://purl.org/dc/terms/" xmlns:xsi="http://www.w3.org/2001/XMLSchema-instance" xsi:type="dcterms:W3CDTF">2026-10-04T19:22:11Z</dcterms:modified>
  <cp:lastModifiedBy>SUPPORT TEAM</cp:lastModifiedBy>
  <cp:lastPrinted>2019-10-15T07:56:00Z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0x010100EB971F96850C604FA9DD4A6FAA1D7E94</vt:lpwstr>
  </property>
</Properties>
</file>